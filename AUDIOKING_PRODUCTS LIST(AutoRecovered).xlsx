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thaarth\OneDrive\Documents\Yathzzz_Codes\Audio King\"/>
    </mc:Choice>
  </mc:AlternateContent>
  <xr:revisionPtr revIDLastSave="0" documentId="8_{A600FA4B-FE95-4A32-891B-5E62BC8FD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 Musicals" sheetId="1" r:id="rId1"/>
    <sheet name="Procraft Indi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9" i="1" l="1"/>
  <c r="B608" i="1"/>
  <c r="B607" i="1"/>
  <c r="B606" i="1"/>
  <c r="B605" i="1"/>
  <c r="B604" i="1"/>
  <c r="B603" i="1"/>
  <c r="B602" i="1"/>
  <c r="B601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48" i="1"/>
  <c r="B547" i="1"/>
  <c r="B546" i="1"/>
  <c r="B545" i="1"/>
  <c r="B544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2" i="1"/>
  <c r="B481" i="1"/>
  <c r="B480" i="1"/>
  <c r="B479" i="1"/>
  <c r="B478" i="1"/>
  <c r="B477" i="1"/>
  <c r="B476" i="1"/>
  <c r="B475" i="1"/>
  <c r="B474" i="1"/>
  <c r="B473" i="1"/>
  <c r="B472" i="1"/>
  <c r="B465" i="1"/>
  <c r="B464" i="1"/>
  <c r="B463" i="1"/>
  <c r="B462" i="1"/>
  <c r="B461" i="1"/>
  <c r="B460" i="1"/>
  <c r="B459" i="1"/>
  <c r="B458" i="1"/>
  <c r="B457" i="1"/>
  <c r="B448" i="1"/>
  <c r="B447" i="1"/>
  <c r="B446" i="1"/>
  <c r="B445" i="1"/>
  <c r="B444" i="1"/>
  <c r="B443" i="1"/>
  <c r="B439" i="1"/>
  <c r="B437" i="1"/>
  <c r="B397" i="1"/>
  <c r="B395" i="1"/>
  <c r="B393" i="1"/>
  <c r="B392" i="1"/>
  <c r="B391" i="1"/>
  <c r="B390" i="1"/>
  <c r="B389" i="1"/>
  <c r="B388" i="1"/>
  <c r="B387" i="1"/>
  <c r="B386" i="1"/>
  <c r="B385" i="1"/>
  <c r="B384" i="1"/>
  <c r="B382" i="1"/>
  <c r="B379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2" i="1"/>
  <c r="B351" i="1"/>
  <c r="B350" i="1"/>
  <c r="B349" i="1"/>
  <c r="B348" i="1"/>
  <c r="B347" i="1"/>
  <c r="B346" i="1"/>
  <c r="B345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66" i="1"/>
  <c r="B265" i="1"/>
  <c r="B264" i="1"/>
  <c r="B263" i="1"/>
  <c r="B262" i="1"/>
  <c r="B261" i="1"/>
  <c r="B260" i="1"/>
  <c r="B255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3" i="1"/>
  <c r="B222" i="1"/>
  <c r="B221" i="1"/>
  <c r="B220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02" i="1"/>
  <c r="B101" i="1"/>
  <c r="B100" i="1"/>
  <c r="B99" i="1"/>
  <c r="B98" i="1"/>
  <c r="B97" i="1"/>
  <c r="B96" i="1"/>
  <c r="B83" i="1"/>
  <c r="B82" i="1"/>
  <c r="B46" i="1"/>
  <c r="B45" i="1"/>
  <c r="B44" i="1"/>
  <c r="B43" i="1"/>
  <c r="B42" i="1"/>
  <c r="B41" i="1"/>
  <c r="B40" i="1"/>
  <c r="B39" i="1"/>
  <c r="B38" i="1"/>
  <c r="B37" i="1"/>
  <c r="B32" i="1"/>
  <c r="B31" i="1"/>
  <c r="B30" i="1"/>
  <c r="B29" i="1"/>
  <c r="B28" i="1"/>
  <c r="B27" i="1"/>
  <c r="B26" i="1"/>
</calcChain>
</file>

<file path=xl/sharedStrings.xml><?xml version="1.0" encoding="utf-8"?>
<sst xmlns="http://schemas.openxmlformats.org/spreadsheetml/2006/main" count="762" uniqueCount="522">
  <si>
    <t>AUDIO KING PRODUCTS LISTING (PROCRAFT INDIA)</t>
  </si>
  <si>
    <t>CONDENSER MICROPHONES</t>
  </si>
  <si>
    <t>GUITAR EFFECTS &amp; PEDALS</t>
  </si>
  <si>
    <t>BRAND : Audota</t>
  </si>
  <si>
    <t>BRAND : Lauten Audio</t>
  </si>
  <si>
    <t>S.No.</t>
  </si>
  <si>
    <t>Serial Number</t>
  </si>
  <si>
    <t>Name</t>
  </si>
  <si>
    <t>MRP</t>
  </si>
  <si>
    <t>Offer Price</t>
  </si>
  <si>
    <t>Buy Page</t>
  </si>
  <si>
    <t>Price</t>
  </si>
  <si>
    <t>Lauten Audio - Kick Mic, Snare Mic, 2x Tom Mic, and 3x Rim Mount</t>
  </si>
  <si>
    <r>
      <rPr>
        <u/>
        <sz val="11"/>
        <color rgb="FF1155CC"/>
        <rFont val="Carlito"/>
      </rPr>
      <t>AUDOTA ACE-100 Intelligent Combined Effects Pedal with IR Support</t>
    </r>
  </si>
  <si>
    <t>₹8,000</t>
  </si>
  <si>
    <t>₹7,420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</si>
  <si>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</si>
  <si>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Audota AME-100 AI-Powered Multi-Effects Processor</t>
    </r>
  </si>
  <si>
    <t>Lauten Audio - Kick Mic, Snare Mic, 3x Tom Mic, and 4x Rim Mount</t>
  </si>
  <si>
    <t>₹10,000</t>
  </si>
  <si>
    <t>₹7,800</t>
  </si>
  <si>
    <r>
      <rPr>
        <u/>
        <sz val="11"/>
        <color rgb="FF1155CC"/>
        <rFont val="Carlito"/>
      </rPr>
      <t>Buy Page</t>
    </r>
  </si>
  <si>
    <t>Lauten Audio - Kick Mic, Snare Mic, 3x Tom Mic, and 4x Rim Mount LA-120 &amp; the LA-120 Pads</t>
  </si>
  <si>
    <r>
      <rPr>
        <u/>
        <sz val="11"/>
        <color rgb="FF1155CC"/>
        <rFont val="Carlito"/>
      </rPr>
      <t>AUDOTA AVE-100 Vocal Multi Effects Processor with Pitch Correction</t>
    </r>
  </si>
  <si>
    <t>₹13,000</t>
  </si>
  <si>
    <t>₹11,900</t>
  </si>
  <si>
    <r>
      <rPr>
        <u/>
        <sz val="11"/>
        <color rgb="FF1155CC"/>
        <rFont val="Carlito"/>
      </rPr>
      <t>Buy Page</t>
    </r>
  </si>
  <si>
    <t>Lauten Audio - Kick Mic, Snare Mic, 3x Tom Mic, and 4x Rim Mount with 2x LA-220</t>
  </si>
  <si>
    <r>
      <rPr>
        <u/>
        <sz val="11"/>
        <color rgb="FF1155CC"/>
        <rFont val="Carlito"/>
      </rPr>
      <t>AUDOTA AME-200 Pro Multi Effects Processor with IR Support &amp; USB Recording</t>
    </r>
  </si>
  <si>
    <t>Lauten Audio Atlantis FC-387</t>
  </si>
  <si>
    <t>₹15,500</t>
  </si>
  <si>
    <t>₹14,100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</si>
  <si>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</si>
  <si>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AUDOTA AME-200 Multi Effects Processor with IR Support &amp; USB Recording</t>
    </r>
  </si>
  <si>
    <t>Lauten Audio Clarion FC-357</t>
  </si>
  <si>
    <t>₹12,500</t>
  </si>
  <si>
    <t>₹10,600</t>
  </si>
  <si>
    <r>
      <rPr>
        <u/>
        <sz val="11"/>
        <color rgb="FF1155CC"/>
        <rFont val="Carlito"/>
      </rPr>
      <t>Buy Page</t>
    </r>
  </si>
  <si>
    <t>BRAND : Caline</t>
  </si>
  <si>
    <r>
      <rPr>
        <u/>
        <sz val="11"/>
        <color rgb="FF1155CC"/>
        <rFont val="Carlito"/>
      </rPr>
      <t>Caline CP-60 Wine Cellar Bass Preamp &amp; DI Pedal</t>
    </r>
  </si>
  <si>
    <t>Lauten Audio Eden LT-386</t>
  </si>
  <si>
    <t>₹5,500</t>
  </si>
  <si>
    <t>₹4,700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</si>
  <si>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</si>
  <si>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Caline CP-24 10 Band EQ Pedal | Precision Guitar Equalizer</t>
    </r>
  </si>
  <si>
    <t>Lauten Audio Kick Mic LS-608</t>
  </si>
  <si>
    <t>₹6,500</t>
  </si>
  <si>
    <t>₹5,700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</si>
  <si>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</si>
  <si>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Caline CP-12 Pure Sky Overdrive Pedal | Transparent EQ Drive</t>
    </r>
  </si>
  <si>
    <t>Lauten Audio LA-120 V2 Black Pair</t>
  </si>
  <si>
    <t>₹4,500</t>
  </si>
  <si>
    <t>₹3,700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</si>
  <si>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</si>
  <si>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Caline CP-47 Pressure Tank Compressor Pedal | Hard &amp; Soft Modes</t>
    </r>
  </si>
  <si>
    <t>Lauten Audio LA-220 V2</t>
  </si>
  <si>
    <t>₹5,000</t>
  </si>
  <si>
    <r>
      <rPr>
        <u/>
        <sz val="11"/>
        <color rgb="FF1155CC"/>
        <rFont val="Carlito"/>
      </rPr>
      <t>Buy Page</t>
    </r>
  </si>
  <si>
    <t>BRAND : Donner</t>
  </si>
  <si>
    <r>
      <rPr>
        <u/>
        <sz val="11"/>
        <color rgb="FF1155CC"/>
        <rFont val="Carlito"/>
      </rPr>
      <t>Donner Morpher Distortion Pedal | High Gain Guitar Effects</t>
    </r>
  </si>
  <si>
    <t>Lauten Audio LA-320 V2</t>
  </si>
  <si>
    <t>₹4,570</t>
  </si>
  <si>
    <t>₹3,720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</si>
  <si>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</si>
  <si>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Compressor Pedal Ultimate Comp Guitar Effect Pedal</t>
    </r>
  </si>
  <si>
    <t>Lauten Audio LS-208 V2</t>
  </si>
  <si>
    <t>₹4,600</t>
  </si>
  <si>
    <t>₹3,740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</si>
  <si>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</si>
  <si>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Circle Looper Pedal | Stereo Guitar Looper Pedal | 40 Slots 160 mins with Drum Machine 100 Drum Grooves, Tap Tempo, Fade Out</t>
    </r>
  </si>
  <si>
    <t>Lauten Audio LS-308 V2</t>
  </si>
  <si>
    <t>₹18,000</t>
  </si>
  <si>
    <t>₹16,500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</si>
  <si>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</si>
  <si>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Blues Drive Classical Electronic Vintage Overdrive Effect Pedal True Bypass Warm/Hot Modes</t>
    </r>
  </si>
  <si>
    <t>Lauten Audio Rim Mount</t>
  </si>
  <si>
    <t>₹4,420</t>
  </si>
  <si>
    <t>₹3,600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</si>
  <si>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</si>
  <si>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Pocket-X Multi Effects Guitar Pedal Guitar/Bass AMP Modeler Multi Effects Processor Portable Rechargeable Guitar Pedal with 6 Effects Modules, 80 Presets, 20 IRs for Electric Guitar</t>
    </r>
  </si>
  <si>
    <t>Lauten Audio Snare Mic LS-408</t>
  </si>
  <si>
    <t>Lauten Audio Tom Mic LS-508</t>
  </si>
  <si>
    <t>₹13,410</t>
  </si>
  <si>
    <t>₹10,910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</si>
  <si>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</si>
  <si>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Acoustic Guitar Multi-Effects Pedal APL, 8 Classic Effects Delay Overdrive Chorus, 6 IR Modes, 8 Min Looper, Variety of Interfaces, Auto-Notch Anti-howling, Includes Power Adapter and USB Cable</t>
    </r>
  </si>
  <si>
    <t>Lauten Audio In-Line -10dB Pads for LA-120 (pair)</t>
  </si>
  <si>
    <t>₹24,900</t>
  </si>
  <si>
    <t>₹20,260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</si>
  <si>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</si>
  <si>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Arena 2000 Multi-Effect Guitar Pedal AMP Modeling Multiple Effects Processor</t>
    </r>
  </si>
  <si>
    <t>₹34,340</t>
  </si>
  <si>
    <t>BRAND : Universal Audio</t>
  </si>
  <si>
    <t>₹27,940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</si>
  <si>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</si>
  <si>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Triple Looper Guitar Pedal, Loop Pedal with Screen, 3 Loops 30 mins Looping Time, Looper Pedal Unlimited Overdubs Undo/Redo True Bypass</t>
    </r>
  </si>
  <si>
    <t>₹14,340</t>
  </si>
  <si>
    <t>₹11,660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</si>
  <si>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</si>
  <si>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Reverb Guitar Pedal, Verb Square Digital Reverb 7 Modes Room, Hall, Church, Spring, Plate, Studio, Mod, True Bypass</t>
    </r>
  </si>
  <si>
    <t>₹7,940</t>
  </si>
  <si>
    <t>₹6,460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</si>
  <si>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</si>
  <si>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Guitar Wah Pedal, 2 in 1 Wah Volume Pedal, Mini Vintage Electric Guitar Effect Pedal with Wah Wah Active Volume Control, Vowel Lightweight Guitar Pedal</t>
    </r>
  </si>
  <si>
    <t>₹7,999</t>
  </si>
  <si>
    <t>₹7,499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</si>
  <si>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</si>
  <si>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Dumbal Drive Overdrive Guitar Pedal, Transparent Overdrive with 2 Band EQ Boost Effect Pure Analog True Bypass</t>
    </r>
  </si>
  <si>
    <t>BRAND : Eikon</t>
  </si>
  <si>
    <t>₹5,250</t>
  </si>
  <si>
    <t>₹4,270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</si>
  <si>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</si>
  <si>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White Tape Versatility Delay Pedal Time Effect Suits for Synthesizers/Guitars/Drum Machines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</si>
  <si>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</si>
  <si>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Chorus Pedal, Tutti Love Analog Chorus Effect Classic Warm Chorus for Electric Guitar True Bypass</t>
    </r>
  </si>
  <si>
    <t>₹4,730</t>
  </si>
  <si>
    <t>₹3,850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</si>
  <si>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</si>
  <si>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Guitar Delay Pedal, Yellow Fall Analog Delay Guitar Effect Pedal Vintage Delay True Bypass</t>
    </r>
  </si>
  <si>
    <t>DYNAMIC MICROPHONES</t>
  </si>
  <si>
    <t>₹4,000</t>
  </si>
  <si>
    <t>₹3,400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</si>
  <si>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</si>
  <si>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Tuner Pedal, DT-1 Chromatic Guitar Tuner Pedal with Pitch Indicator for Electric Guitar and Bass True Bypass</t>
    </r>
  </si>
  <si>
    <t>Universal Audio SD-1 Standard Dynamic Microphone</t>
  </si>
  <si>
    <t>₹4,350</t>
  </si>
  <si>
    <t>₹3,540</t>
  </si>
  <si>
    <r>
      <rPr>
        <u/>
        <sz val="11"/>
        <color rgb="FF1155CC"/>
        <rFont val="Carlito"/>
      </rPr>
      <t>Buy Page</t>
    </r>
  </si>
  <si>
    <t>BRAND : Joyo</t>
  </si>
  <si>
    <r>
      <rPr>
        <u/>
        <sz val="11"/>
        <color rgb="FF1155CC"/>
        <rFont val="Carlito"/>
      </rPr>
      <t>JOYO GEM BOX K8 Guitar Multi-Effects Processor Pedal with 5" Touchscreen, 160+ Effects, 400 Presets, Amp Modeling, IR Loader, Drum Machine &amp; USB Audio Interface All-in-One Pedalboard for Studio/Live</t>
    </r>
  </si>
  <si>
    <t>Universal Audio SD-3 Dynamic Microphone</t>
  </si>
  <si>
    <t>Universal Audio SD-3 Dynamic Microphone (Trio Pack)</t>
  </si>
  <si>
    <t>₹58,000</t>
  </si>
  <si>
    <t>₹52,000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</si>
  <si>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</si>
  <si>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Gem Box 2 Multi Guitar Effects Looper Drums Metronome Tuner</t>
    </r>
  </si>
  <si>
    <t>Universal Audio SD-5 Dynamic Microphone</t>
  </si>
  <si>
    <t>₹14,500</t>
  </si>
  <si>
    <t>₹12,900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</si>
  <si>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</si>
  <si>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D-SEED II Dual Channel Digital Delay Pedal</t>
    </r>
  </si>
  <si>
    <t>Universal Audio SD-7 Dynamic Microphone</t>
  </si>
  <si>
    <t>₹11,000</t>
  </si>
  <si>
    <t>₹9,500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</si>
  <si>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</si>
  <si>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R-30 Tidal Wave Bass Preamp Pedal</t>
    </r>
  </si>
  <si>
    <t>Eikon DM220 - Professional Vocal Dynamic Microphone</t>
  </si>
  <si>
    <t>₹9,900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</si>
  <si>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</si>
  <si>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R-11 Baatsin 8 Mode Overdrive Pedal</t>
    </r>
  </si>
  <si>
    <t>Eikon DM226 - Professional Vocal Dynamic Microphone</t>
  </si>
  <si>
    <t>₹7,200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</si>
  <si>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</si>
  <si>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Band Controller R-12 10-Band EQ Pedal</t>
    </r>
  </si>
  <si>
    <t>₹12,000</t>
  </si>
  <si>
    <t>₹9,850</t>
  </si>
  <si>
    <r>
      <rPr>
        <u/>
        <sz val="11"/>
        <color rgb="FF1155CC"/>
        <rFont val="Carlito"/>
      </rPr>
      <t>Buy Page</t>
    </r>
  </si>
  <si>
    <t>Eikon DM55V2 - Vintage Professional Vocal Dynamic Mic</t>
  </si>
  <si>
    <r>
      <rPr>
        <u/>
        <sz val="11"/>
        <color rgb="FF1155CC"/>
        <rFont val="Carlito"/>
      </rPr>
      <t>JOYO UZI R-03 High-Gain Distortion Pedal</t>
    </r>
  </si>
  <si>
    <t>Eikon DM580 - Professional Vocal Dynamic Microphone</t>
  </si>
  <si>
    <t>₹6,000</t>
  </si>
  <si>
    <t>₹4,950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</si>
  <si>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</si>
  <si>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R-26 Monomyth Bass Preamp and DI Effects Pedal True Bypass Cab Sim EQ</t>
    </r>
  </si>
  <si>
    <t>Eikon DM580LC - Professional Vocal Dynamic Microphone</t>
  </si>
  <si>
    <t>₹9,400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</si>
  <si>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</si>
  <si>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R-01 Tauren Overdrive | Boutique-Style Drive Pedal</t>
    </r>
  </si>
  <si>
    <t>Eikon DM585 - Professional Vocal Dynamic Microphone</t>
  </si>
  <si>
    <t>₹6,700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</si>
  <si>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</si>
  <si>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CLASSIC WAH-I Mini WAH Pedal, Volume Pedal, Multifunctional and Portable</t>
    </r>
  </si>
  <si>
    <t>Eikon DM800KIT - Kit made of 3 Vocal Dynamic Microphones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</si>
  <si>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</si>
  <si>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Distortion Guitar Effect Pedal with Selectable MOSFET &amp; FAT Clipping Thick Boost Distortion - True Bypass (SPLINTER JF-21)</t>
    </r>
  </si>
  <si>
    <t>Eikon EKD7 - Dynamic Cardioid Professional Microphone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</si>
  <si>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</si>
  <si>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Reverb Effect Pedal Digital Guitar Pedal with 3 Reverb Effects (Studio, Church, Plate) for Electric Guitar - True Bypass (MOIST JF-20)</t>
    </r>
  </si>
  <si>
    <t>Eikon EKD8 - Dynamic Super-Cardioid Professional Microphone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</si>
  <si>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</si>
  <si>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JF-16 British Sound Guitar Effect Pedal Amp Simulator</t>
    </r>
  </si>
  <si>
    <t>₹4,400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</si>
  <si>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</si>
  <si>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JF-12 Voodoo Octave Fuzz Guitar Effect Pedal</t>
    </r>
  </si>
  <si>
    <t>Eikon EKD9 - Dynamic Super-Cardioid Professional Microphone (Double Coil)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</si>
  <si>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</si>
  <si>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JF-08 Digital Delay Guitar Effect Pedal</t>
    </r>
  </si>
  <si>
    <t>Eikon WM700DM - PLL UHF Wireless Handheld Microphone System</t>
  </si>
  <si>
    <t>₹3,900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</si>
  <si>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</si>
  <si>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JF-07 Classic Flanger Guitar Effect Pedal</t>
    </r>
  </si>
  <si>
    <t>Eikon WM700M - PLL UHF Wireless Handheld Microphone System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</si>
  <si>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</si>
  <si>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JF-01 Vintage Overdrive Guitar Effect Pedal</t>
    </r>
  </si>
  <si>
    <t>BRAND : Audix</t>
  </si>
  <si>
    <r>
      <rPr>
        <u/>
        <sz val="11"/>
        <color rgb="FF1155CC"/>
        <rFont val="Carlito"/>
      </rPr>
      <t>Buy Page</t>
    </r>
  </si>
  <si>
    <t>GUITAR AMPLIFIERS</t>
  </si>
  <si>
    <r>
      <rPr>
        <u/>
        <sz val="11"/>
        <color rgb="FF1155CC"/>
        <rFont val="Carlito"/>
      </rPr>
      <t>Donner DA-10B Electric Guitar Amplifier 3W Vintage white Practice Amp.</t>
    </r>
  </si>
  <si>
    <t>AUDIO INTERFACES</t>
  </si>
  <si>
    <t>₹5,360</t>
  </si>
  <si>
    <t>₹4,360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</si>
  <si>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</si>
  <si>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Mini Guitar Amp Digital, 5W Wireless Small Electric Guitar Amplifier, Cyclops Guitar Portable Practice Amp with 7 Amp Models 3 Types Effects: Mod, Delay, Reverb and Drum Machine</t>
    </r>
  </si>
  <si>
    <t>BRAND : Focusrite</t>
  </si>
  <si>
    <t>₹14,999</t>
  </si>
  <si>
    <t>₹13,999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</si>
  <si>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</si>
  <si>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Mini Guitar Amp Small Electric Guitar Amplifier 5W Portable for Desktop Practice with a Retro British Tone DA-10</t>
    </r>
  </si>
  <si>
    <t>₹8,999</t>
  </si>
  <si>
    <r>
      <rPr>
        <u/>
        <sz val="11"/>
        <color rgb="FF1155CC"/>
        <rFont val="Carlito"/>
      </rPr>
      <t>Buy Page</t>
    </r>
  </si>
  <si>
    <t>BRAND : JOYO</t>
  </si>
  <si>
    <r>
      <rPr>
        <u/>
        <sz val="11"/>
        <color rgb="FF1155CC"/>
        <rFont val="Carlito"/>
      </rPr>
      <t>JOYO 20W AC20S Guitar Amp for Acoustic Guitar Built-in Bluetooth and Battery with Reverb Chorus Delay Effect for Practicing and Outdoors</t>
    </r>
  </si>
  <si>
    <t>Focusrite REDNET 1</t>
  </si>
  <si>
    <t>₹19,000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</si>
  <si>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</si>
  <si>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AC20 Acoustic Guitar Amplifier with Mic Channel - 20 Watts</t>
    </r>
  </si>
  <si>
    <t>Focusrite REDNET 3</t>
  </si>
  <si>
    <t>₹15,200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</si>
  <si>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</si>
  <si>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AC40 Acoustic Amplifier 40W - Reverb, Delay &amp; Chorus - Buskers Amp</t>
    </r>
  </si>
  <si>
    <t>Focusrite REDNET 5</t>
  </si>
  <si>
    <t>₹23,500</t>
  </si>
  <si>
    <t>₹21,700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</si>
  <si>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</si>
  <si>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AC40S Acoustic Guitar Amplifier 40W | Bluetooth &amp; Battery | India</t>
    </r>
  </si>
  <si>
    <t>Focusrite REDNET 6</t>
  </si>
  <si>
    <t>₹27,000</t>
  </si>
  <si>
    <t>₹25,000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</si>
  <si>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</si>
  <si>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BSK40 ORANGE 40 Watt Combo Amplifier Rechargeable Guitar &amp; Vocal Two Channels Guitar Amp with Drum Machine Reverb Chorus Delay Effects and Bluetooth XLR &amp; Aux-in</t>
    </r>
  </si>
  <si>
    <t>Focusrite REDNET AM2</t>
  </si>
  <si>
    <t>₹49,000</t>
  </si>
  <si>
    <t>₹46,500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</si>
  <si>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</si>
  <si>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BSK80 80 Watt Battery Powered 2 Channel Amp Bluetooth Guitar Amplifier</t>
    </r>
  </si>
  <si>
    <t>Focusrite REDNET D64R</t>
  </si>
  <si>
    <t>₹49,500</t>
  </si>
  <si>
    <t>₹47,200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</si>
  <si>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</si>
  <si>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DC15 15W Digital Guitar Amplifier with Delay Reverb Effect 36 Pattern Drum</t>
    </r>
  </si>
  <si>
    <t>Focusrite REDNET MP8R</t>
  </si>
  <si>
    <t>₹10,900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</si>
  <si>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</si>
  <si>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DC15 S Guitar Amplifier 15W With Multi Fx, Looper, Bluetooth, Footswitch &amp; Drums</t>
    </r>
  </si>
  <si>
    <t>Focusrite REDNET PCIe</t>
  </si>
  <si>
    <t>₹21,000</t>
  </si>
  <si>
    <t>₹20,400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</si>
  <si>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</si>
  <si>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DC30 30W Digital Guitar Amplifier With Drum Machine and Effects</t>
    </r>
  </si>
  <si>
    <t>₹15,000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</si>
  <si>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</si>
  <si>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JA-05G Plug and play electric guitar amp</t>
    </r>
  </si>
  <si>
    <t>₹16,000</t>
  </si>
  <si>
    <t>₹14,250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</si>
  <si>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</si>
  <si>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JACKMAN Amplifier 20 Watt Hybrid Mini Tube Head Bluetooth BanTamp Series</t>
    </r>
  </si>
  <si>
    <t>₹14,600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</si>
  <si>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</si>
  <si>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JamBuddy II Smart Portable Guitar Amp | Bluetooth &amp; Looper</t>
    </r>
  </si>
  <si>
    <t>₹14,000</t>
  </si>
  <si>
    <t>₹12,250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</si>
  <si>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</si>
  <si>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JTA-05 "Sweet Baby" Vintage Style All Tube Guitar Amplifier - 5 Watt</t>
    </r>
  </si>
  <si>
    <t>₹30,000</t>
  </si>
  <si>
    <t>₹28,000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</si>
  <si>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</si>
  <si>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KLONZ Limited White Tube Amp Head | Vintage–Modern</t>
    </r>
  </si>
  <si>
    <t>₹1,60,000</t>
  </si>
  <si>
    <t>₹1,49,000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</si>
  <si>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</si>
  <si>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Tweedy BanTamp XL Series Mini Amp Head 20 Watt Preamp 2 Channel Hybrid Tube Guitar Amplifier with Bluetooth for Electric Guitar</t>
    </r>
  </si>
  <si>
    <t>₹18,500</t>
  </si>
  <si>
    <t>₹16,300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</si>
  <si>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</si>
  <si>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ZOMBIE Amplifier 20 Watt Hybrid Mini Tube Head Bluetooth BanTamp Series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</si>
  <si>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</si>
  <si>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JOYO Zombie-II (Dual Rectifier) BanTamp XL Series Mini Amp Head 20 Watt Preamp 2 Channel Hybrid Tube Guitar Amplifier with Bluetooth</t>
    </r>
  </si>
  <si>
    <t>₹19,500</t>
  </si>
  <si>
    <r>
      <rPr>
        <u/>
        <sz val="11"/>
        <color rgb="FF1155CC"/>
        <rFont val="Carlito"/>
      </rPr>
      <t>Buy Page</t>
    </r>
  </si>
  <si>
    <t>BRAND : Just PRO</t>
  </si>
  <si>
    <r>
      <rPr>
        <u/>
        <sz val="11"/>
        <color rgb="FF1155CC"/>
        <rFont val="Carlito"/>
      </rPr>
      <t>Just PRO AC70S Acoustic Guitar Amplifier</t>
    </r>
  </si>
  <si>
    <t>₹45,000</t>
  </si>
  <si>
    <t>₹29,200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</si>
  <si>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</si>
  <si>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Just PRO DA102 Electric Guitar Amplifier</t>
    </r>
  </si>
  <si>
    <t>₹9,300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</si>
  <si>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</si>
  <si>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Just PRO FOX150 classic Beach white Electric Guitar Amplifier</t>
    </r>
  </si>
  <si>
    <t>₹11,500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</si>
  <si>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</si>
  <si>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Just PRO FOX150 classic Guava pink Electric Guitar Amplifier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</si>
  <si>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</si>
  <si>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Just PRO FOX150 classic Sea salt blue Electric Guitar Amplifier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</si>
  <si>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</si>
  <si>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Just PRO MD15 Electric Guitar Amplifier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</si>
  <si>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</si>
  <si>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JustPRO MX100 100w Amplifier 4 Independent Channels Noise Elimination</t>
    </r>
  </si>
  <si>
    <t>₹95,000</t>
  </si>
  <si>
    <r>
      <rPr>
        <u/>
        <sz val="11"/>
        <color rgb="FF1155CC"/>
        <rFont val="Carlito"/>
      </rPr>
      <t>Buy Page</t>
    </r>
  </si>
  <si>
    <t>BRAND : LiRevo</t>
  </si>
  <si>
    <r>
      <rPr>
        <u/>
        <sz val="11"/>
        <color rgb="FF1155CC"/>
        <rFont val="Carlito"/>
      </rPr>
      <t>Lirevo A30 Acoustic Guitar Amplifier | 30W India</t>
    </r>
  </si>
  <si>
    <t>₹17,000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</si>
  <si>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</si>
  <si>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Lirevo A60 60W Acoustic Guitar Amplifier | India</t>
    </r>
  </si>
  <si>
    <t>Native Instruments</t>
  </si>
  <si>
    <t>₹23,000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</si>
  <si>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</si>
  <si>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LiRevo Fullstar-15 15W Modelling Guitar Amplifier | India</t>
    </r>
  </si>
  <si>
    <t>Native Instruments Komplete Audio 1</t>
  </si>
  <si>
    <t>₹14,900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</si>
  <si>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</si>
  <si>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LiRevo Fullstar-30 30W Modelling Guitar Amplifier | India</t>
    </r>
  </si>
  <si>
    <t>STUDIO MONITORS</t>
  </si>
  <si>
    <t>₹18,900</t>
  </si>
  <si>
    <r>
      <rPr>
        <u/>
        <sz val="11"/>
        <color rgb="FF1155CC"/>
        <rFont val="Carlito"/>
      </rPr>
      <t>Buy Page</t>
    </r>
  </si>
  <si>
    <t>ADAM Audio</t>
  </si>
  <si>
    <r>
      <rPr>
        <u/>
        <sz val="11"/>
        <color rgb="FF1155CC"/>
        <rFont val="Carlito"/>
      </rPr>
      <t>LiRevo Fullstar-80 80W Modelling Guitar Amplifier | India</t>
    </r>
  </si>
  <si>
    <t>₹28,500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</si>
  <si>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</si>
  <si>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LiREVO Token 10 - 10W electric amplifier</t>
    </r>
  </si>
  <si>
    <t>₹7,900</t>
  </si>
  <si>
    <t>₹7,300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</si>
  <si>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</si>
  <si>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LiREVO Token 15- 15W electric amplifier with Celestion speakers</t>
    </r>
  </si>
  <si>
    <t>₹11,400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</si>
  <si>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</si>
  <si>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LiREVO Token 30- 30W electric amplifier with Celestion speakers</t>
    </r>
  </si>
  <si>
    <t>₹16,400</t>
  </si>
  <si>
    <r>
      <rPr>
        <u/>
        <sz val="11"/>
        <color rgb="FF1155CC"/>
        <rFont val="Carlito"/>
      </rPr>
      <t>Buy Page</t>
    </r>
  </si>
  <si>
    <t>BRAND : Procraft</t>
  </si>
  <si>
    <r>
      <rPr>
        <u/>
        <sz val="11"/>
        <color rgb="FF1155CC"/>
        <rFont val="Carlito"/>
      </rPr>
      <t>GA20RT Bluetooth amp 20W</t>
    </r>
  </si>
  <si>
    <t>₹5,800</t>
  </si>
  <si>
    <t>₹5,400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</si>
  <si>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</si>
  <si>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GB15 Bluetooth rechargeable amp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</si>
  <si>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</si>
  <si>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Procraft Amp EG15</t>
    </r>
  </si>
  <si>
    <t>₹5,200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</si>
  <si>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</si>
  <si>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Procraft GA10</t>
    </r>
  </si>
  <si>
    <t>₹3,550</t>
  </si>
  <si>
    <r>
      <rPr>
        <u/>
        <sz val="11"/>
        <color rgb="FF1155CC"/>
        <rFont val="Carlito"/>
      </rPr>
      <t>Buy Page</t>
    </r>
  </si>
  <si>
    <t>BRAND : Focal Professional</t>
  </si>
  <si>
    <r>
      <rPr>
        <u/>
        <sz val="11"/>
        <color rgb="FF1155CC"/>
        <rFont val="Carlito"/>
      </rPr>
      <t>Procraft Jungle10 8 watt DSP amplifier with effects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</si>
  <si>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</si>
  <si>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Procraft Jungle20 DSP electric guitar amplifier with effects - 15W</t>
    </r>
  </si>
  <si>
    <t>₹13,100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</si>
  <si>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</si>
  <si>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Procraft Jungle30 DSP Electric amplifier with effects-30W</t>
    </r>
  </si>
  <si>
    <t>₹14,800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</si>
  <si>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</si>
  <si>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Procraft MG 15</t>
    </r>
  </si>
  <si>
    <t>₹7,350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</si>
  <si>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</si>
  <si>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Procraft MG 25</t>
    </r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</si>
  <si>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</si>
  <si>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R1 5W Bluetooth</t>
    </r>
  </si>
  <si>
    <r>
      <rPr>
        <u/>
        <sz val="11"/>
        <color rgb="FF1155CC"/>
        <rFont val="Carlito"/>
      </rPr>
      <t>Buy Page</t>
    </r>
  </si>
  <si>
    <t>BRAND :Eikon</t>
  </si>
  <si>
    <t>BRAND : SQOE</t>
  </si>
  <si>
    <r>
      <rPr>
        <u/>
        <sz val="11"/>
        <color rgb="FF1155CC"/>
        <rFont val="Carlito"/>
      </rPr>
      <t>SQOE 20G portable electric guitar amplifier</t>
    </r>
  </si>
  <si>
    <t>₹5,600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</si>
  <si>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</si>
  <si>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SQOE 40G portable electric guitar amplifier with effects</t>
    </r>
  </si>
  <si>
    <t>Guitar Amplifiers</t>
  </si>
  <si>
    <t>BRAND : Synergy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</si>
  <si>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</si>
  <si>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SQOE 60G electric guitar amplifier with effects</t>
    </r>
  </si>
  <si>
    <r>
      <rPr>
        <u/>
        <sz val="11"/>
        <color rgb="FF1155CC"/>
        <rFont val="Carlito"/>
      </rPr>
      <t>Buy Page</t>
    </r>
  </si>
  <si>
    <t>BRAND : Strydom</t>
  </si>
  <si>
    <r>
      <rPr>
        <u/>
        <sz val="11"/>
        <color rgb="FF1155CC"/>
        <rFont val="Carlito"/>
      </rPr>
      <t>Strydom Mini Riot 8W Portable Guitar Amplifier with Bluetooth</t>
    </r>
  </si>
  <si>
    <t>₹3,500</t>
  </si>
  <si>
    <t>₹2,850</t>
  </si>
  <si>
    <r>
      <rPr>
        <u/>
        <sz val="11"/>
        <color rgb="FF1155CC"/>
        <rFont val="Carlito"/>
      </rPr>
      <t>Buy Page</t>
    </r>
  </si>
  <si>
    <t>BRAND : UDO</t>
  </si>
  <si>
    <r>
      <rPr>
        <u/>
        <sz val="11"/>
        <color rgb="FF1155CC"/>
        <rFont val="Carlito"/>
      </rPr>
      <t>Udo Roesner Da Capo 75 Acoustic reference amplifier</t>
    </r>
  </si>
  <si>
    <t>₹1,10,000</t>
  </si>
  <si>
    <t>₹1,06,000</t>
  </si>
  <si>
    <r>
      <rPr>
        <u/>
        <sz val="11"/>
        <color rgb="FF1155CC"/>
        <rFont val="Carlito"/>
      </rPr>
      <t>Buy Page</t>
    </r>
  </si>
  <si>
    <t>ELECTRONIC DRUMS</t>
  </si>
  <si>
    <t>BRAND : Avatar</t>
  </si>
  <si>
    <r>
      <rPr>
        <u/>
        <sz val="11"/>
        <color rgb="FF1155CC"/>
        <rFont val="Carlito"/>
      </rPr>
      <t>Avatar A51 Professional 9-Piece Mesh Kit Electric Drumkit Set with Shell (5PC Drum Pad, 4PC Cymbal Pad)</t>
    </r>
  </si>
  <si>
    <t>₹1,15,000</t>
  </si>
  <si>
    <t>₹1,12,000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</si>
  <si>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</si>
  <si>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Avatar PD705 Sample Pad, Portable Multipad for Drummers, With 9 Velocity Sensitive Drum Pads, 592 Percussion Sounds, Support USB/MIDI In Out/AUX</t>
    </r>
  </si>
  <si>
    <t>₹28,990</t>
  </si>
  <si>
    <r>
      <rPr>
        <u/>
        <sz val="11"/>
        <color rgb="FF1155CC"/>
        <rFont val="Carlito"/>
      </rPr>
      <t>Buy Page</t>
    </r>
  </si>
  <si>
    <t>Guitar Pedals &amp; Effects</t>
  </si>
  <si>
    <r>
      <rPr>
        <u/>
        <sz val="11"/>
        <color rgb="FF1155CC"/>
        <rFont val="Carlito"/>
      </rPr>
      <t>AVATAR SD201-3SH DIGITAL DRUM MESH HEAD 9 PIECES WITH DRUM THRONE - 5 DRUM PAD &amp; 4 CYMBAL PAD</t>
    </r>
  </si>
  <si>
    <t>BRAND : Two Notes</t>
  </si>
  <si>
    <t>₹87,990</t>
  </si>
  <si>
    <t>₹85,000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</si>
  <si>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</si>
  <si>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AVATAR SD51-2 Electric Drum Set</t>
    </r>
  </si>
  <si>
    <t>₹32,000</t>
  </si>
  <si>
    <t>₹31,000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</si>
  <si>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</si>
  <si>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AVATAR SD61-5 Professional Electric Drumkit Set Mesh Electronic Drum Kit with 447 Sounds, Dual-zone Snare, Cymbal With Choke, Kick Tower, Support to Add Extra Tom &amp; Cymbal</t>
    </r>
  </si>
  <si>
    <t>₹39,990</t>
  </si>
  <si>
    <t>₹37,000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</si>
  <si>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</si>
  <si>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Back Beat Pro Electronic Drum Set - 7" touch screen, 1100+ sounds, 100 kits, built-in USB recording</t>
    </r>
  </si>
  <si>
    <t>₹1,44,140</t>
  </si>
  <si>
    <t>₹1,17,250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</si>
  <si>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</si>
  <si>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BackBeat Electric Drumkit Set with High-Tech 7-inch Touchscreen, 1126 Sounds, Customize Drum Pad Colors, Internal Rack Wiring, and Gaming APP for Ultimate Fun</t>
    </r>
  </si>
  <si>
    <t>BRAND : Mooer</t>
  </si>
  <si>
    <t>₹1,31,390</t>
  </si>
  <si>
    <t>₹1,06,880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</si>
  <si>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</si>
  <si>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BEAT 5-Drum 3-Cymbal Electronic Drumkit Set with Touch Screen for Pros</t>
    </r>
  </si>
  <si>
    <t>₹79,990</t>
  </si>
  <si>
    <t>₹76,000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</si>
  <si>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</si>
  <si>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DED-500 PRO Electronic Drumkit Set with Industry Standard Mesh Heads, Moving HiHat, and Included BD Pedal for Optimal Performance and Feel Plus USB Professional Studio Integration</t>
    </r>
  </si>
  <si>
    <t>₹79,999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</si>
  <si>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</si>
  <si>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DED-70 Electric Drum Set, Quiet Electronic Drum Kit for Beginner with Mesh Pad, Portable Drum Set Support Portable Charger Supply, Drum Throne, Sticks Headphone</t>
    </r>
  </si>
  <si>
    <t>₹25,500</t>
  </si>
  <si>
    <t>₹24,500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</si>
  <si>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</si>
  <si>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DED-80 Electric Drum Set, Electronic Drum Kit for Beginner with 180 Sounds, Quiet Mesh Drum Set with Heavy Duty Pedals, Drum Throne, Sticks Headphone (New Upgraded)</t>
    </r>
  </si>
  <si>
    <t>₹39,640</t>
  </si>
  <si>
    <t>₹32,250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</si>
  <si>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</si>
  <si>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DED-95 Electric Drum Set, Electronic Drum Kit for Beginner with Kick Drum,180 Sounds, Quiet Mesh Drum Set with Drum Throne,Sticks Headphone and 40 Melodics Lessons (New Upgraded)</t>
    </r>
  </si>
  <si>
    <t>₹33,400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</si>
  <si>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</si>
  <si>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DED20 Electronic Drum Set - 7 Pads Electric Roll Up Quiet Drum With Built-in Speaker, 40 Lessons Included - Kids Holiday Christmas &amp; Birthday Gift Instrument Toys</t>
    </r>
  </si>
  <si>
    <t>₹7,750</t>
  </si>
  <si>
    <t>₹6,300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</si>
  <si>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</si>
  <si>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DED200 Electronic Drum Set 5-Drum 3-Cymbal 450-Sound with Drum Throne/Headphone</t>
    </r>
  </si>
  <si>
    <t>₹65,640</t>
  </si>
  <si>
    <t>₹53,390</t>
  </si>
  <si>
    <r>
      <rPr>
        <u/>
        <sz val="11"/>
        <color rgb="FF1155CC"/>
        <rFont val="Carlito"/>
      </rPr>
      <t>Buy Page</t>
    </r>
  </si>
  <si>
    <r>
      <rPr>
        <u/>
        <sz val="11"/>
        <color rgb="FF1155CC"/>
        <rFont val="Carlito"/>
      </rPr>
      <t>Donner Groove Ultra Electronic Drum Kit</t>
    </r>
  </si>
  <si>
    <t>₹94,900</t>
  </si>
  <si>
    <t>₹77,200</t>
  </si>
  <si>
    <r>
      <rPr>
        <u/>
        <sz val="11"/>
        <color rgb="FF1155CC"/>
        <rFont val="Carlito"/>
      </rPr>
      <t>Buy Page</t>
    </r>
  </si>
  <si>
    <t>Mooer Pure Octave</t>
  </si>
  <si>
    <t>Mooer Purer Octave</t>
  </si>
  <si>
    <t>Mooer ShimVerb Digital Reverb Pedal</t>
  </si>
  <si>
    <t>Universal Audio</t>
  </si>
  <si>
    <t>Universal Audio UAFX ANTI 1992 High Gain Amp</t>
  </si>
  <si>
    <t>Universal Audio UAFX Astra Modulation Machine Stereo Effects Pedal</t>
  </si>
  <si>
    <t>Universal Audio UAFX Del-Verb Ambience Companion</t>
  </si>
  <si>
    <t>Universal Audio UAFX OX Stomp Dynamic Speaker Emulator</t>
  </si>
  <si>
    <t>Universal Audio UAFX Starlight Echo Station Stereo Delay Pedal</t>
  </si>
  <si>
    <t>BluGuitar</t>
  </si>
  <si>
    <t>BluGuitar AMP 1 Iridium Edition</t>
  </si>
  <si>
    <t>BluGuitar AMP 1 Mercury Edition</t>
  </si>
  <si>
    <t>BluGuitar BluBOX Impulse Response Speaker Emulator</t>
  </si>
  <si>
    <t>BluGuitar Remote 1</t>
  </si>
  <si>
    <t>DSM &amp; Humboldt Electronics</t>
  </si>
  <si>
    <t>DSM &amp; Humboldt Black Clouds Distortion Pedal</t>
  </si>
  <si>
    <t>DSM &amp; Humboldt ClearComp1078 Pedal</t>
  </si>
  <si>
    <t>DSM &amp; Humboldt Silver Linings Pedal</t>
  </si>
  <si>
    <t>DSM &amp; Humboldt Simplifier Bass Master Preamp</t>
  </si>
  <si>
    <t>DSM &amp; Humboldt Simplifier Bass Station Pedal</t>
  </si>
  <si>
    <t>DSM &amp; Humboldt Simplifier Classic Pedal</t>
  </si>
  <si>
    <t>DSM &amp; Humboldt Simplifier DLX Pedal</t>
  </si>
  <si>
    <t>DSM &amp; Humboldt Simplifier MKII Pedal</t>
  </si>
  <si>
    <t>DSM &amp; Humboldt Simplifier X Pedal</t>
  </si>
  <si>
    <t>DSM &amp; Humboldt Sub-Atomic Bass Preamp</t>
  </si>
  <si>
    <t>Two Notes</t>
  </si>
  <si>
    <t>Two Notes OPUS - Amp Sim &amp; DynIR Engine</t>
  </si>
  <si>
    <t>Two Notes ReVolt Bass</t>
  </si>
  <si>
    <t>Two Notes ReVolt Guitar</t>
  </si>
  <si>
    <t>Two Notes Torpedo C.A.B. M+ Speaker Simulator Pedal</t>
  </si>
  <si>
    <t>PRE AMPS &amp; CHANNEL STRIPS</t>
  </si>
  <si>
    <t>Focusrite ISA C8X</t>
  </si>
  <si>
    <t>Universal Audio LA2A</t>
  </si>
  <si>
    <t>Universal Audio 1176 LN</t>
  </si>
  <si>
    <t>AUDIO MIXERS</t>
  </si>
  <si>
    <t>BRAND : Proel</t>
  </si>
  <si>
    <t>SPEAKER SYSTEMS</t>
  </si>
  <si>
    <t>Proel LT8A - Active 2-way loudspeaker systems</t>
  </si>
  <si>
    <t>MIDI CONTROLLERS</t>
  </si>
  <si>
    <t>BRAND : Novation</t>
  </si>
  <si>
    <t>BRAND : Icon Pro Audio</t>
  </si>
  <si>
    <t>BRAND : Native Instruments</t>
  </si>
  <si>
    <t>Native Instruments Kontrol S49 MK3</t>
  </si>
  <si>
    <t>Native Instruments Kontrol S61 MK3</t>
  </si>
  <si>
    <t>Native Instruments Kontrol S88 MK3</t>
  </si>
  <si>
    <t>Native Instruments Komplete Kontrol A25</t>
  </si>
  <si>
    <t>Native Instruments Komplete Kontrol A49</t>
  </si>
  <si>
    <t>Native Instruments Komplete Kontrol A61</t>
  </si>
  <si>
    <t>Native Instruments Komplete Kontrol S88 MK2</t>
  </si>
  <si>
    <t>Native Instruments Komplete Kontrol M32</t>
  </si>
  <si>
    <t>Native Instruments Maschine Mikro MK3</t>
  </si>
  <si>
    <t>Native Instruments Maschine MK3</t>
  </si>
  <si>
    <t>Native Instruments Maschine+ (standalone performance and production system)</t>
  </si>
  <si>
    <t>BRAND : Efnote</t>
  </si>
  <si>
    <t>BRAND : Lemon</t>
  </si>
  <si>
    <t>DIGITAL PIANOS</t>
  </si>
  <si>
    <t>BRAND : Artesia</t>
  </si>
  <si>
    <t>Artesia FUN-1 61-Key Children's Digital Piano</t>
  </si>
  <si>
    <t>Artesia Performer Sleek 88 Key Digital Piano - Black</t>
  </si>
  <si>
    <t>Artesia Performer Sleek 88 Key Digital Piano - White</t>
  </si>
  <si>
    <t>BRAND : NORD</t>
  </si>
  <si>
    <t>Nord Grand</t>
  </si>
  <si>
    <t>Nord Grand 2</t>
  </si>
  <si>
    <t>KEYBOARDS</t>
  </si>
  <si>
    <t>Nord Electro 6 HP</t>
  </si>
  <si>
    <t>Nord Electro 6D 61</t>
  </si>
  <si>
    <t>Nord Electro 6D 73</t>
  </si>
  <si>
    <t>Nord Electro 7 61 Key Stage Piano</t>
  </si>
  <si>
    <t>Nord Electro 7 73-key Stage Piano</t>
  </si>
  <si>
    <t>Nord Electro 7 HP 73-key Stage Piano</t>
  </si>
  <si>
    <t>Nord Lead A1</t>
  </si>
  <si>
    <t>Nord Organ 3</t>
  </si>
  <si>
    <t>Nord Piano 5 73</t>
  </si>
  <si>
    <t>Nord Piano 6 73</t>
  </si>
  <si>
    <t>Nord Piano 6 88</t>
  </si>
  <si>
    <t>Nord Stage 4 73</t>
  </si>
  <si>
    <t>Nord Stage 4 88</t>
  </si>
  <si>
    <t>Nord Stage 4 Compact</t>
  </si>
  <si>
    <t>Nord Wave 2</t>
  </si>
  <si>
    <t>DJ CONSOLES</t>
  </si>
  <si>
    <t>Native Instruments Traktor MX2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</si>
</sst>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&quot;₹&quot;#,##0_);[Red]\(&quot;₹&quot;#,##0\)"/>
  </numFmts>
  <fonts count="35">
    <font>
      <sz val="11"/>
      <color theme="1"/>
      <name val="Calibri"/>
      <scheme val="minor"/>
    </font>
    <font>
      <i/>
      <sz val="16"/>
      <color rgb="FFFFFFFF"/>
      <name val="Arial"/>
    </font>
    <font>
      <sz val="11"/>
      <color theme="1"/>
      <name val="Arial"/>
    </font>
    <font>
      <b/>
      <sz val="16"/>
      <color theme="1"/>
      <name val="Calibri"/>
    </font>
    <font>
      <b/>
      <sz val="16"/>
      <color theme="1"/>
      <name val="Carlito"/>
    </font>
    <font>
      <sz val="11"/>
      <name val="Calibri"/>
    </font>
    <font>
      <sz val="11"/>
      <color theme="1"/>
      <name val="Carlito"/>
    </font>
    <font>
      <b/>
      <sz val="13"/>
      <color theme="1"/>
      <name val="Carlito"/>
    </font>
    <font>
      <b/>
      <sz val="13"/>
      <color theme="1"/>
      <name val="Calibri"/>
    </font>
    <font>
      <b/>
      <sz val="11"/>
      <color rgb="FFFFFFFF"/>
      <name val="Carlito"/>
    </font>
    <font>
      <b/>
      <sz val="11"/>
      <color rgb="FFFFFFFF"/>
      <name val="Calibri"/>
    </font>
    <font>
      <sz val="11"/>
      <color theme="1"/>
      <name val="Calibri"/>
    </font>
    <font>
      <u/>
      <sz val="11"/>
      <color rgb="FF0000FF"/>
      <name val="Carlito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</font>
    <font>
      <sz val="11"/>
      <color theme="10"/>
      <name val="Calibri"/>
    </font>
    <font>
      <u/>
      <sz val="11"/>
      <color theme="10"/>
      <name val="Calibri"/>
    </font>
    <font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sz val="11"/>
      <color theme="1"/>
      <name val="Calibri"/>
      <scheme val="minor"/>
    </font>
    <font>
      <u/>
      <sz val="11"/>
      <color rgb="FF0563C1"/>
      <name val="Calibri"/>
    </font>
    <font>
      <sz val="11"/>
      <color rgb="FF000000"/>
      <name val="Calibri"/>
    </font>
    <font>
      <u/>
      <sz val="11"/>
      <color rgb="FF1155CC"/>
      <name val="Arial"/>
    </font>
    <font>
      <b/>
      <sz val="11"/>
      <color theme="1"/>
      <name val="Calibri"/>
    </font>
    <font>
      <u/>
      <sz val="11"/>
      <color theme="10"/>
      <name val="Calibri"/>
    </font>
    <font>
      <b/>
      <u/>
      <sz val="11"/>
      <color rgb="FF0563C1"/>
      <name val="Calibri"/>
    </font>
    <font>
      <u/>
      <sz val="11"/>
      <color rgb="FF0563C1"/>
      <name val="Carlito"/>
    </font>
    <font>
      <u/>
      <sz val="11"/>
      <color theme="10"/>
      <name val="Calibri"/>
    </font>
    <font>
      <sz val="11"/>
      <color rgb="FF0563C1"/>
      <name val="Carlito"/>
    </font>
    <font>
      <u/>
      <sz val="11"/>
      <color rgb="FF0563C1"/>
      <name val="Calibri"/>
    </font>
    <font>
      <u/>
      <sz val="11"/>
      <color rgb="FF1155CC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E5E7EB"/>
        <bgColor rgb="FFE5E7EB"/>
      </patternFill>
    </fill>
    <fill>
      <patternFill patternType="solid">
        <fgColor rgb="FFC6D9F0"/>
        <bgColor rgb="FFC6D9F0"/>
      </patternFill>
    </fill>
    <fill>
      <patternFill patternType="solid">
        <fgColor rgb="FF4B5563"/>
        <bgColor rgb="FF4B5563"/>
      </patternFill>
    </fill>
    <fill>
      <patternFill patternType="solid">
        <fgColor rgb="FF93C47D"/>
        <bgColor rgb="FF93C47D"/>
      </patternFill>
    </fill>
    <fill>
      <patternFill patternType="solid">
        <fgColor rgb="FF8DB3E2"/>
        <bgColor rgb="FF8DB3E2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6" fillId="0" borderId="0" xfId="0" applyFont="1" applyAlignment="1">
      <alignment vertical="top"/>
    </xf>
    <xf numFmtId="0" fontId="9" fillId="6" borderId="0" xfId="0" applyFont="1" applyFill="1" applyAlignment="1">
      <alignment horizontal="center" vertical="top"/>
    </xf>
    <xf numFmtId="0" fontId="10" fillId="6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top" wrapText="1"/>
    </xf>
    <xf numFmtId="0" fontId="6" fillId="0" borderId="0" xfId="0" applyFont="1" applyAlignment="1">
      <alignment horizontal="right" vertical="top"/>
    </xf>
    <xf numFmtId="0" fontId="12" fillId="0" borderId="0" xfId="0" applyFont="1" applyAlignment="1">
      <alignment vertical="top"/>
    </xf>
    <xf numFmtId="0" fontId="13" fillId="7" borderId="5" xfId="0" applyFont="1" applyFill="1" applyBorder="1" applyAlignment="1">
      <alignment vertical="top" wrapText="1"/>
    </xf>
    <xf numFmtId="164" fontId="11" fillId="7" borderId="5" xfId="0" applyNumberFormat="1" applyFont="1" applyFill="1" applyBorder="1" applyAlignment="1">
      <alignment vertical="top" wrapText="1"/>
    </xf>
    <xf numFmtId="3" fontId="6" fillId="0" borderId="0" xfId="0" applyNumberFormat="1" applyFont="1" applyAlignment="1">
      <alignment horizontal="right" vertical="top"/>
    </xf>
    <xf numFmtId="0" fontId="11" fillId="0" borderId="0" xfId="0" applyFont="1" applyAlignment="1">
      <alignment vertical="top" wrapText="1"/>
    </xf>
    <xf numFmtId="0" fontId="14" fillId="0" borderId="5" xfId="0" applyFont="1" applyBorder="1" applyAlignment="1">
      <alignment vertical="top" wrapText="1"/>
    </xf>
    <xf numFmtId="164" fontId="11" fillId="0" borderId="5" xfId="0" applyNumberFormat="1" applyFont="1" applyBorder="1" applyAlignment="1">
      <alignment vertical="top" wrapText="1"/>
    </xf>
    <xf numFmtId="0" fontId="15" fillId="0" borderId="0" xfId="0" applyFont="1"/>
    <xf numFmtId="0" fontId="16" fillId="0" borderId="0" xfId="0" applyFont="1"/>
    <xf numFmtId="0" fontId="11" fillId="0" borderId="0" xfId="0" applyFont="1" applyAlignment="1">
      <alignment wrapText="1"/>
    </xf>
    <xf numFmtId="164" fontId="11" fillId="7" borderId="0" xfId="0" applyNumberFormat="1" applyFont="1" applyFill="1" applyAlignment="1">
      <alignment wrapText="1"/>
    </xf>
    <xf numFmtId="0" fontId="17" fillId="7" borderId="5" xfId="0" applyFont="1" applyFill="1" applyBorder="1" applyAlignment="1">
      <alignment vertical="top" wrapText="1"/>
    </xf>
    <xf numFmtId="164" fontId="11" fillId="0" borderId="0" xfId="0" applyNumberFormat="1" applyFont="1" applyAlignment="1">
      <alignment wrapText="1"/>
    </xf>
    <xf numFmtId="0" fontId="18" fillId="0" borderId="0" xfId="0" applyFont="1" applyAlignment="1">
      <alignment vertical="top" wrapText="1"/>
    </xf>
    <xf numFmtId="0" fontId="19" fillId="7" borderId="0" xfId="0" applyFont="1" applyFill="1" applyAlignment="1">
      <alignment wrapText="1"/>
    </xf>
    <xf numFmtId="0" fontId="20" fillId="7" borderId="0" xfId="0" applyFont="1" applyFill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8" fillId="0" borderId="5" xfId="0" applyFont="1" applyBorder="1" applyAlignment="1">
      <alignment vertical="top" wrapText="1"/>
    </xf>
    <xf numFmtId="0" fontId="23" fillId="0" borderId="0" xfId="0" applyFont="1"/>
    <xf numFmtId="0" fontId="24" fillId="0" borderId="0" xfId="0" applyFont="1" applyAlignment="1">
      <alignment vertical="top" wrapText="1"/>
    </xf>
    <xf numFmtId="164" fontId="11" fillId="0" borderId="0" xfId="0" applyNumberFormat="1" applyFont="1"/>
    <xf numFmtId="0" fontId="11" fillId="0" borderId="0" xfId="0" applyFont="1"/>
    <xf numFmtId="165" fontId="25" fillId="0" borderId="0" xfId="0" applyNumberFormat="1" applyFont="1"/>
    <xf numFmtId="0" fontId="2" fillId="0" borderId="0" xfId="0" applyFont="1" applyAlignment="1">
      <alignment horizontal="right"/>
    </xf>
    <xf numFmtId="0" fontId="26" fillId="0" borderId="0" xfId="0" applyFont="1"/>
    <xf numFmtId="0" fontId="11" fillId="0" borderId="0" xfId="0" applyFont="1" applyAlignment="1">
      <alignment horizontal="center" wrapText="1"/>
    </xf>
    <xf numFmtId="164" fontId="11" fillId="0" borderId="0" xfId="0" applyNumberFormat="1" applyFont="1" applyAlignment="1">
      <alignment horizontal="right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64" fontId="27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6" fillId="0" borderId="0" xfId="0" applyFont="1"/>
    <xf numFmtId="0" fontId="2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5" fillId="0" borderId="0" xfId="0" applyNumberFormat="1" applyFont="1"/>
    <xf numFmtId="0" fontId="9" fillId="6" borderId="4" xfId="0" applyFont="1" applyFill="1" applyBorder="1" applyAlignment="1">
      <alignment horizontal="center" vertical="top" wrapText="1"/>
    </xf>
    <xf numFmtId="0" fontId="30" fillId="0" borderId="0" xfId="0" applyFont="1" applyAlignment="1">
      <alignment vertical="top" wrapText="1"/>
    </xf>
    <xf numFmtId="164" fontId="11" fillId="0" borderId="0" xfId="0" applyNumberFormat="1" applyFont="1" applyAlignment="1">
      <alignment vertical="top" wrapText="1"/>
    </xf>
    <xf numFmtId="0" fontId="31" fillId="0" borderId="0" xfId="0" applyFont="1" applyAlignment="1">
      <alignment vertical="top" wrapText="1"/>
    </xf>
    <xf numFmtId="0" fontId="32" fillId="0" borderId="0" xfId="0" applyFont="1" applyAlignment="1">
      <alignment vertical="top" wrapText="1"/>
    </xf>
    <xf numFmtId="0" fontId="33" fillId="0" borderId="0" xfId="0" applyFont="1"/>
    <xf numFmtId="0" fontId="9" fillId="6" borderId="4" xfId="0" applyFont="1" applyFill="1" applyBorder="1" applyAlignment="1">
      <alignment horizontal="center" vertical="top"/>
    </xf>
    <xf numFmtId="0" fontId="10" fillId="6" borderId="4" xfId="0" applyFont="1" applyFill="1" applyBorder="1" applyAlignment="1">
      <alignment horizontal="center"/>
    </xf>
    <xf numFmtId="0" fontId="21" fillId="9" borderId="0" xfId="0" applyFont="1" applyFill="1" applyAlignment="1">
      <alignment wrapText="1"/>
    </xf>
    <xf numFmtId="164" fontId="11" fillId="9" borderId="0" xfId="0" applyNumberFormat="1" applyFont="1" applyFill="1" applyAlignment="1">
      <alignment wrapText="1"/>
    </xf>
    <xf numFmtId="0" fontId="22" fillId="9" borderId="0" xfId="0" applyFont="1" applyFill="1" applyAlignment="1">
      <alignment wrapText="1"/>
    </xf>
    <xf numFmtId="0" fontId="24" fillId="9" borderId="0" xfId="0" applyFont="1" applyFill="1" applyAlignment="1">
      <alignment vertical="top" wrapText="1"/>
    </xf>
    <xf numFmtId="164" fontId="11" fillId="9" borderId="0" xfId="0" applyNumberFormat="1" applyFont="1" applyFill="1"/>
    <xf numFmtId="164" fontId="11" fillId="9" borderId="0" xfId="0" applyNumberFormat="1" applyFont="1" applyFill="1" applyAlignment="1">
      <alignment horizontal="right" wrapText="1"/>
    </xf>
    <xf numFmtId="0" fontId="15" fillId="9" borderId="0" xfId="0" applyFont="1" applyFill="1"/>
    <xf numFmtId="165" fontId="25" fillId="9" borderId="0" xfId="0" applyNumberFormat="1" applyFont="1" applyFill="1"/>
    <xf numFmtId="0" fontId="30" fillId="9" borderId="0" xfId="0" applyFont="1" applyFill="1" applyAlignment="1">
      <alignment vertical="top" wrapText="1"/>
    </xf>
    <xf numFmtId="164" fontId="11" fillId="9" borderId="0" xfId="0" applyNumberFormat="1" applyFont="1" applyFill="1" applyAlignment="1">
      <alignment vertical="top" wrapText="1"/>
    </xf>
    <xf numFmtId="0" fontId="31" fillId="9" borderId="0" xfId="0" applyFont="1" applyFill="1" applyAlignment="1">
      <alignment vertical="top" wrapText="1"/>
    </xf>
    <xf numFmtId="0" fontId="33" fillId="9" borderId="0" xfId="0" applyFont="1" applyFill="1"/>
    <xf numFmtId="0" fontId="8" fillId="8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7" fillId="4" borderId="0" xfId="0" applyFont="1" applyFill="1" applyAlignment="1">
      <alignment horizontal="left" vertical="top"/>
    </xf>
    <xf numFmtId="0" fontId="14" fillId="9" borderId="5" xfId="0" applyFont="1" applyFill="1" applyBorder="1" applyAlignment="1">
      <alignment vertical="top" wrapText="1"/>
    </xf>
    <xf numFmtId="0" fontId="29" fillId="9" borderId="0" xfId="0" applyFont="1" applyFill="1" applyAlignment="1">
      <alignment horizontal="center" vertical="center" wrapText="1"/>
    </xf>
    <xf numFmtId="164" fontId="25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romusicals.com/index.php?manufacturer_id=100&amp;product_id=890&amp;route=product/product" TargetMode="External"/><Relationship Id="rId21" Type="http://schemas.openxmlformats.org/officeDocument/2006/relationships/hyperlink" Target="https://www.promusicals.com/index.php?product_id=1870&amp;route=product/product" TargetMode="External"/><Relationship Id="rId42" Type="http://schemas.openxmlformats.org/officeDocument/2006/relationships/hyperlink" Target="https://www.promusicals.com/index.php?route=product/product&amp;manufacturer_id=59&amp;product_id=779" TargetMode="External"/><Relationship Id="rId47" Type="http://schemas.openxmlformats.org/officeDocument/2006/relationships/hyperlink" Target="https://www.promusicals.com/index.php?route=product/product&amp;product_id=1941&amp;search=Universal+Audio+UAFX+ANTI+1992+High+Gain+Amp" TargetMode="External"/><Relationship Id="rId63" Type="http://schemas.openxmlformats.org/officeDocument/2006/relationships/hyperlink" Target="https://www.promusicals.com/index.php?route=product/product&amp;manufacturer_id=128&amp;product_id=1829" TargetMode="External"/><Relationship Id="rId68" Type="http://schemas.openxmlformats.org/officeDocument/2006/relationships/hyperlink" Target="https://www.promusicals.com/index.php?route=product/product&amp;product_id=1607&amp;search=two+notes" TargetMode="External"/><Relationship Id="rId84" Type="http://schemas.openxmlformats.org/officeDocument/2006/relationships/hyperlink" Target="https://www.promusicals.com/index.php?path=515_588&amp;product_id=939&amp;route=product/product" TargetMode="External"/><Relationship Id="rId89" Type="http://schemas.openxmlformats.org/officeDocument/2006/relationships/hyperlink" Target="https://www.promusicals.com/index.php?manufacturer_id=72&amp;product_id=1803&amp;route=product/product" TargetMode="External"/><Relationship Id="rId16" Type="http://schemas.openxmlformats.org/officeDocument/2006/relationships/hyperlink" Target="https://www.promusicals.com/index.php?route=product/product&amp;product_id=1869" TargetMode="External"/><Relationship Id="rId11" Type="http://schemas.openxmlformats.org/officeDocument/2006/relationships/hyperlink" Target="https://www.promusicals.com/index.php?route=product/product&amp;product_id=1604" TargetMode="External"/><Relationship Id="rId32" Type="http://schemas.openxmlformats.org/officeDocument/2006/relationships/hyperlink" Target="https://www.promusicals.com/index.php?manufacturer_id=100&amp;product_id=889&amp;route=product/product" TargetMode="External"/><Relationship Id="rId37" Type="http://schemas.openxmlformats.org/officeDocument/2006/relationships/hyperlink" Target="https://www.promusicals.com/index.php?route=product/product&amp;manufacturer_id=59&amp;product_id=775" TargetMode="External"/><Relationship Id="rId53" Type="http://schemas.openxmlformats.org/officeDocument/2006/relationships/hyperlink" Target="https://www.promusicals.com/index.php?route=product/product&amp;manufacturer_id=96&amp;product_id=809" TargetMode="External"/><Relationship Id="rId58" Type="http://schemas.openxmlformats.org/officeDocument/2006/relationships/hyperlink" Target="https://www.promusicals.com/index.php?route=product/product&amp;product_id=1832&amp;search=DSM+%26+Humboldt+Silver+Linings+Pedal" TargetMode="External"/><Relationship Id="rId74" Type="http://schemas.openxmlformats.org/officeDocument/2006/relationships/hyperlink" Target="https://www.promusicals.com/index.php?path=518_556&amp;product_id=1697&amp;route=product/product" TargetMode="External"/><Relationship Id="rId79" Type="http://schemas.openxmlformats.org/officeDocument/2006/relationships/hyperlink" Target="https://www.promusicals.com/index.php?path=518_556&amp;product_id=328&amp;route=product/product" TargetMode="External"/><Relationship Id="rId102" Type="http://schemas.openxmlformats.org/officeDocument/2006/relationships/hyperlink" Target="https://www.promusicals.com/index.php?manufacturer_id=72&amp;product_id=1577&amp;route=product/product" TargetMode="External"/><Relationship Id="rId5" Type="http://schemas.openxmlformats.org/officeDocument/2006/relationships/hyperlink" Target="https://www.promusicals.com/index.php?route=product/product&amp;product_id=1597" TargetMode="External"/><Relationship Id="rId90" Type="http://schemas.openxmlformats.org/officeDocument/2006/relationships/hyperlink" Target="https://www.promusicals.com/index.php?manufacturer_id=72&amp;product_id=372&amp;route=product/product" TargetMode="External"/><Relationship Id="rId95" Type="http://schemas.openxmlformats.org/officeDocument/2006/relationships/hyperlink" Target="https://www.promusicals.com/index.php?manufacturer_id=72&amp;product_id=2425&amp;route=product/product" TargetMode="External"/><Relationship Id="rId22" Type="http://schemas.openxmlformats.org/officeDocument/2006/relationships/hyperlink" Target="https://www.promusicals.com/index.php?product_id=1873&amp;route=product/product" TargetMode="External"/><Relationship Id="rId27" Type="http://schemas.openxmlformats.org/officeDocument/2006/relationships/hyperlink" Target="https://www.promusicals.com/index.php?manufacturer_id=100&amp;product_id=891&amp;route=product/product" TargetMode="External"/><Relationship Id="rId43" Type="http://schemas.openxmlformats.org/officeDocument/2006/relationships/hyperlink" Target="https://www.promusicals.com/index.php?route=product/product&amp;product_id=323&amp;search=Native+Instruments+Brand&amp;description=true" TargetMode="External"/><Relationship Id="rId48" Type="http://schemas.openxmlformats.org/officeDocument/2006/relationships/hyperlink" Target="https://www.promusicals.com/index.php?route=product/product&amp;product_id=1047&amp;search=Universal+Audio+UAFX+Astra+Modulation+Machine+Stereo+Effects+Pedal" TargetMode="External"/><Relationship Id="rId64" Type="http://schemas.openxmlformats.org/officeDocument/2006/relationships/hyperlink" Target="https://www.promusicals.com/index.php?route=product/product&amp;manufacturer_id=128&amp;product_id=1835" TargetMode="External"/><Relationship Id="rId69" Type="http://schemas.openxmlformats.org/officeDocument/2006/relationships/hyperlink" Target="https://www.promusicals.com/index.php?route=product/product&amp;product_id=1609&amp;search=two+notes" TargetMode="External"/><Relationship Id="rId80" Type="http://schemas.openxmlformats.org/officeDocument/2006/relationships/hyperlink" Target="https://www.promusicals.com/index.php?path=518_556&amp;product_id=331&amp;route=product/product" TargetMode="External"/><Relationship Id="rId85" Type="http://schemas.openxmlformats.org/officeDocument/2006/relationships/hyperlink" Target="https://www.promusicals.com/index.php?manufacturer_id=136&amp;product_id=2198&amp;route=product/product" TargetMode="External"/><Relationship Id="rId12" Type="http://schemas.openxmlformats.org/officeDocument/2006/relationships/hyperlink" Target="https://www.promusicals.com/index.php?route=product/product&amp;product_id=1602" TargetMode="External"/><Relationship Id="rId17" Type="http://schemas.openxmlformats.org/officeDocument/2006/relationships/hyperlink" Target="https://www.promusicals.com/index.php?route=product/product&amp;product_id=2243&amp;search=LAUTEN+AUDIO+IN+LINE+-10+DB+PADS+FOR+LA+120+" TargetMode="External"/><Relationship Id="rId33" Type="http://schemas.openxmlformats.org/officeDocument/2006/relationships/hyperlink" Target="https://www.promusicals.com/index.php?route=product/product&amp;path=568_630&amp;product_id=913&amp;mfp=manufacturers%5b100%5d" TargetMode="External"/><Relationship Id="rId38" Type="http://schemas.openxmlformats.org/officeDocument/2006/relationships/hyperlink" Target="https://www.promusicals.com/index.php?route=product/product&amp;manufacturer_id=59&amp;product_id=778" TargetMode="External"/><Relationship Id="rId59" Type="http://schemas.openxmlformats.org/officeDocument/2006/relationships/hyperlink" Target="https://www.promusicals.com/index.php?route=product/product&amp;manufacturer_id=128&amp;product_id=2079" TargetMode="External"/><Relationship Id="rId103" Type="http://schemas.openxmlformats.org/officeDocument/2006/relationships/hyperlink" Target="https://www.promusicals.com/index.php?manufacturer_id=72&amp;product_id=1579&amp;route=product/product" TargetMode="External"/><Relationship Id="rId20" Type="http://schemas.openxmlformats.org/officeDocument/2006/relationships/hyperlink" Target="https://www.promusicals.com/index.php?product_id=1872&amp;route=product/product" TargetMode="External"/><Relationship Id="rId41" Type="http://schemas.openxmlformats.org/officeDocument/2006/relationships/hyperlink" Target="https://www.promusicals.com/index.php?route=product/product&amp;manufacturer_id=59&amp;product_id=772" TargetMode="External"/><Relationship Id="rId54" Type="http://schemas.openxmlformats.org/officeDocument/2006/relationships/hyperlink" Target="https://www.promusicals.com/index.php?route=product/product&amp;manufacturer_id=96&amp;product_id=814" TargetMode="External"/><Relationship Id="rId62" Type="http://schemas.openxmlformats.org/officeDocument/2006/relationships/hyperlink" Target="https://www.promusicals.com/index.php?route=product/product&amp;manufacturer_id=128&amp;product_id=1834" TargetMode="External"/><Relationship Id="rId70" Type="http://schemas.openxmlformats.org/officeDocument/2006/relationships/hyperlink" Target="https://www.promusicals.com/index.php?route=product/product&amp;path=515_528&amp;product_id=2409&amp;mfp=manufacturers%5b59%5d" TargetMode="External"/><Relationship Id="rId75" Type="http://schemas.openxmlformats.org/officeDocument/2006/relationships/hyperlink" Target="https://www.promusicals.com/index.php?path=518_556&amp;product_id=1698&amp;route=product/product" TargetMode="External"/><Relationship Id="rId83" Type="http://schemas.openxmlformats.org/officeDocument/2006/relationships/hyperlink" Target="https://www.promusicals.com/index.php?path=515_588&amp;product_id=334&amp;route=product/product" TargetMode="External"/><Relationship Id="rId88" Type="http://schemas.openxmlformats.org/officeDocument/2006/relationships/hyperlink" Target="https://www.promusicals.com/index.php?manufacturer_id=72&amp;product_id=563&amp;route=product/product" TargetMode="External"/><Relationship Id="rId91" Type="http://schemas.openxmlformats.org/officeDocument/2006/relationships/hyperlink" Target="https://www.promusicals.com/index.php?manufacturer_id=72&amp;product_id=370&amp;route=product/product" TargetMode="External"/><Relationship Id="rId96" Type="http://schemas.openxmlformats.org/officeDocument/2006/relationships/hyperlink" Target="https://www.promusicals.com/index.php?manufacturer_id=72&amp;product_id=368&amp;route=product/product" TargetMode="External"/><Relationship Id="rId1" Type="http://schemas.openxmlformats.org/officeDocument/2006/relationships/hyperlink" Target="https://www.promusicals.com/index.php?route=product/product&amp;product_id=2242" TargetMode="External"/><Relationship Id="rId6" Type="http://schemas.openxmlformats.org/officeDocument/2006/relationships/hyperlink" Target="https://www.promusicals.com/index.php?route=product/product&amp;product_id=1598" TargetMode="External"/><Relationship Id="rId15" Type="http://schemas.openxmlformats.org/officeDocument/2006/relationships/hyperlink" Target="https://www.promusicals.com/index.php?route=product/product&amp;product_id=1704" TargetMode="External"/><Relationship Id="rId23" Type="http://schemas.openxmlformats.org/officeDocument/2006/relationships/hyperlink" Target="https://www.promusicals.com/index.php?manufacturer_id=100&amp;product_id=894&amp;route=product/product" TargetMode="External"/><Relationship Id="rId28" Type="http://schemas.openxmlformats.org/officeDocument/2006/relationships/hyperlink" Target="https://www.promusicals.com/index.php?manufacturer_id=100&amp;product_id=892&amp;route=product/product" TargetMode="External"/><Relationship Id="rId36" Type="http://schemas.openxmlformats.org/officeDocument/2006/relationships/hyperlink" Target="https://www.promusicals.com/index.php?route=product/product&amp;manufacturer_id=59&amp;product_id=777" TargetMode="External"/><Relationship Id="rId49" Type="http://schemas.openxmlformats.org/officeDocument/2006/relationships/hyperlink" Target="https://www.promusicals.com/index.php?route=product/product&amp;product_id=1595&amp;search=Universal+Audio+UAFX+Del-Verb+Ambience+Companion" TargetMode="External"/><Relationship Id="rId57" Type="http://schemas.openxmlformats.org/officeDocument/2006/relationships/hyperlink" Target="https://www.promusicals.com/index.php?route=product/product&amp;manufacturer_id=128&amp;product_id=1831" TargetMode="External"/><Relationship Id="rId10" Type="http://schemas.openxmlformats.org/officeDocument/2006/relationships/hyperlink" Target="https://www.promusicals.com/index.php?route=product/product&amp;product_id=1601" TargetMode="External"/><Relationship Id="rId31" Type="http://schemas.openxmlformats.org/officeDocument/2006/relationships/hyperlink" Target="https://www.promusicals.com/index.php?manufacturer_id=100&amp;product_id=888&amp;route=product/product" TargetMode="External"/><Relationship Id="rId44" Type="http://schemas.openxmlformats.org/officeDocument/2006/relationships/hyperlink" Target="https://www.promusicals.com/index.php?route=product/product&amp;product_id=2101&amp;search=Mooer+Pure+Octave" TargetMode="External"/><Relationship Id="rId52" Type="http://schemas.openxmlformats.org/officeDocument/2006/relationships/hyperlink" Target="https://www.promusicals.com/index.php?route=product/product&amp;manufacturer_id=96&amp;product_id=810" TargetMode="External"/><Relationship Id="rId60" Type="http://schemas.openxmlformats.org/officeDocument/2006/relationships/hyperlink" Target="https://www.promusicals.com/index.php?route=product/product&amp;manufacturer_id=128&amp;product_id=1827" TargetMode="External"/><Relationship Id="rId65" Type="http://schemas.openxmlformats.org/officeDocument/2006/relationships/hyperlink" Target="https://www.promusicals.com/index.php?route=product/product&amp;manufacturer_id=128&amp;product_id=2078" TargetMode="External"/><Relationship Id="rId73" Type="http://schemas.openxmlformats.org/officeDocument/2006/relationships/hyperlink" Target="https://www.promusicals.com/index.php?route=product/product&amp;product_id=1334&amp;search=Proel+LT8A+-+Active+2-way+loudspeaker+systems" TargetMode="External"/><Relationship Id="rId78" Type="http://schemas.openxmlformats.org/officeDocument/2006/relationships/hyperlink" Target="https://www.promusicals.com/index.php?path=518_556&amp;product_id=327&amp;route=product/product" TargetMode="External"/><Relationship Id="rId81" Type="http://schemas.openxmlformats.org/officeDocument/2006/relationships/hyperlink" Target="https://www.promusicals.com/index.php?path=518_556&amp;product_id=332&amp;route=product/product" TargetMode="External"/><Relationship Id="rId86" Type="http://schemas.openxmlformats.org/officeDocument/2006/relationships/hyperlink" Target="https://www.promusicals.com/index.php?manufacturer_id=136&amp;product_id=2196&amp;route=product/product" TargetMode="External"/><Relationship Id="rId94" Type="http://schemas.openxmlformats.org/officeDocument/2006/relationships/hyperlink" Target="https://www.promusicals.com/index.php?manufacturer_id=72&amp;product_id=2423&amp;route=product/product" TargetMode="External"/><Relationship Id="rId99" Type="http://schemas.openxmlformats.org/officeDocument/2006/relationships/hyperlink" Target="https://www.promusicals.com/index.php?manufacturer_id=72&amp;product_id=2433&amp;route=product/product" TargetMode="External"/><Relationship Id="rId101" Type="http://schemas.openxmlformats.org/officeDocument/2006/relationships/hyperlink" Target="https://www.promusicals.com/index.php?manufacturer_id=72&amp;product_id=1578&amp;route=product/product" TargetMode="External"/><Relationship Id="rId4" Type="http://schemas.openxmlformats.org/officeDocument/2006/relationships/hyperlink" Target="https://www.promusicals.com/index.php?route=product/product&amp;product_id=2244" TargetMode="External"/><Relationship Id="rId9" Type="http://schemas.openxmlformats.org/officeDocument/2006/relationships/hyperlink" Target="https://www.promusicals.com/index.php?route=product/product&amp;product_id=1600" TargetMode="External"/><Relationship Id="rId13" Type="http://schemas.openxmlformats.org/officeDocument/2006/relationships/hyperlink" Target="https://www.promusicals.com/index.php?route=product/product&amp;product_id=1605" TargetMode="External"/><Relationship Id="rId18" Type="http://schemas.openxmlformats.org/officeDocument/2006/relationships/hyperlink" Target="https://www.promusicals.com/index.php?product_id=1488&amp;route=product/product" TargetMode="External"/><Relationship Id="rId39" Type="http://schemas.openxmlformats.org/officeDocument/2006/relationships/hyperlink" Target="https://www.promusicals.com/index.php?route=product/product&amp;manufacturer_id=59&amp;product_id=771" TargetMode="External"/><Relationship Id="rId34" Type="http://schemas.openxmlformats.org/officeDocument/2006/relationships/hyperlink" Target="https://www.promusicals.com/index.php?route=product/product&amp;path=568_630&amp;product_id=910&amp;mfp=manufacturers%5b100%5d" TargetMode="External"/><Relationship Id="rId50" Type="http://schemas.openxmlformats.org/officeDocument/2006/relationships/hyperlink" Target="https://www.promusicals.com/index.php?route=product/product&amp;product_id=1755&amp;search=Universal+Audio+UAFX+OX+Stomp+Dynamic+Speaker+Emulator" TargetMode="External"/><Relationship Id="rId55" Type="http://schemas.openxmlformats.org/officeDocument/2006/relationships/hyperlink" Target="https://www.promusicals.com/index.php?route=product/product&amp;manufacturer_id=96&amp;product_id=813" TargetMode="External"/><Relationship Id="rId76" Type="http://schemas.openxmlformats.org/officeDocument/2006/relationships/hyperlink" Target="https://www.promusicals.com/index.php?path=518_556&amp;product_id=1699&amp;route=product/product" TargetMode="External"/><Relationship Id="rId97" Type="http://schemas.openxmlformats.org/officeDocument/2006/relationships/hyperlink" Target="https://www.promusicals.com/index.php?manufacturer_id=72&amp;product_id=2218&amp;route=product/product" TargetMode="External"/><Relationship Id="rId104" Type="http://schemas.openxmlformats.org/officeDocument/2006/relationships/hyperlink" Target="https://www.promusicals.com/index.php?manufacturer_id=72&amp;product_id=754&amp;route=product/product" TargetMode="External"/><Relationship Id="rId7" Type="http://schemas.openxmlformats.org/officeDocument/2006/relationships/hyperlink" Target="https://www.promusicals.com/index.php?route=product/product&amp;product_id=1599" TargetMode="External"/><Relationship Id="rId71" Type="http://schemas.openxmlformats.org/officeDocument/2006/relationships/hyperlink" Target="https://www.promusicals.com/index.php?route=product/product&amp;path=515_528&amp;product_id=228&amp;mfp=manufacturers%5b58%5d" TargetMode="External"/><Relationship Id="rId92" Type="http://schemas.openxmlformats.org/officeDocument/2006/relationships/hyperlink" Target="https://www.promusicals.com/index.php?manufacturer_id=72&amp;product_id=371&amp;route=product/product" TargetMode="External"/><Relationship Id="rId2" Type="http://schemas.openxmlformats.org/officeDocument/2006/relationships/hyperlink" Target="https://www.promusicals.com/index.php?route=product/product&amp;product_id=2241" TargetMode="External"/><Relationship Id="rId29" Type="http://schemas.openxmlformats.org/officeDocument/2006/relationships/hyperlink" Target="https://www.promusicals.com/index.php?manufacturer_id=100&amp;product_id=895&amp;route=product/product" TargetMode="External"/><Relationship Id="rId24" Type="http://schemas.openxmlformats.org/officeDocument/2006/relationships/hyperlink" Target="https://www.promusicals.com/index.php?manufacturer_id=100&amp;product_id=893&amp;route=product/product" TargetMode="External"/><Relationship Id="rId40" Type="http://schemas.openxmlformats.org/officeDocument/2006/relationships/hyperlink" Target="https://www.promusicals.com/index.php?route=product/product&amp;manufacturer_id=59&amp;product_id=773" TargetMode="External"/><Relationship Id="rId45" Type="http://schemas.openxmlformats.org/officeDocument/2006/relationships/hyperlink" Target="https://www.promusicals.com/index.php?route=product/product&amp;product_id=2102&amp;search=Mooer+Purer+Octave" TargetMode="External"/><Relationship Id="rId66" Type="http://schemas.openxmlformats.org/officeDocument/2006/relationships/hyperlink" Target="https://www.promusicals.com/index.php?route=product/product&amp;product_id=1781&amp;search=two+notes" TargetMode="External"/><Relationship Id="rId87" Type="http://schemas.openxmlformats.org/officeDocument/2006/relationships/hyperlink" Target="https://www.promusicals.com/index.php?manufacturer_id=136&amp;product_id=2197&amp;route=product/product" TargetMode="External"/><Relationship Id="rId61" Type="http://schemas.openxmlformats.org/officeDocument/2006/relationships/hyperlink" Target="https://www.promusicals.com/index.php?route=product/product&amp;manufacturer_id=128&amp;product_id=1830" TargetMode="External"/><Relationship Id="rId82" Type="http://schemas.openxmlformats.org/officeDocument/2006/relationships/hyperlink" Target="https://www.promusicals.com/index.php?path=515_588&amp;product_id=333&amp;route=product/product" TargetMode="External"/><Relationship Id="rId19" Type="http://schemas.openxmlformats.org/officeDocument/2006/relationships/hyperlink" Target="https://www.promusicals.com/index.php?product_id=1871&amp;route=product/product" TargetMode="External"/><Relationship Id="rId14" Type="http://schemas.openxmlformats.org/officeDocument/2006/relationships/hyperlink" Target="https://www.promusicals.com/index.php?route=product/product&amp;product_id=2240" TargetMode="External"/><Relationship Id="rId30" Type="http://schemas.openxmlformats.org/officeDocument/2006/relationships/hyperlink" Target="https://www.promusicals.com/index.php?manufacturer_id=100&amp;product_id=887&amp;route=product/product" TargetMode="External"/><Relationship Id="rId35" Type="http://schemas.openxmlformats.org/officeDocument/2006/relationships/hyperlink" Target="https://www.promusicals.com/index.php?route=product/product&amp;manufacturer_id=59&amp;product_id=774" TargetMode="External"/><Relationship Id="rId56" Type="http://schemas.openxmlformats.org/officeDocument/2006/relationships/hyperlink" Target="https://www.promusicals.com/index.php?route=product/product&amp;manufacturer_id=128&amp;product_id=1833" TargetMode="External"/><Relationship Id="rId77" Type="http://schemas.openxmlformats.org/officeDocument/2006/relationships/hyperlink" Target="https://www.promusicals.com/index.php?path=518_556&amp;product_id=326&amp;route=product/product" TargetMode="External"/><Relationship Id="rId100" Type="http://schemas.openxmlformats.org/officeDocument/2006/relationships/hyperlink" Target="https://www.promusicals.com/index.php?manufacturer_id=72&amp;product_id=2434&amp;route=product/product" TargetMode="External"/><Relationship Id="rId105" Type="http://schemas.openxmlformats.org/officeDocument/2006/relationships/hyperlink" Target="https://www.promusicals.com/index.php?route=product/product&amp;product_id=2234&amp;search=Native+Instruments+Brand&amp;description=true" TargetMode="External"/><Relationship Id="rId8" Type="http://schemas.openxmlformats.org/officeDocument/2006/relationships/hyperlink" Target="https://www.promusicals.com/index.php?route=product/product&amp;product_id=2239" TargetMode="External"/><Relationship Id="rId51" Type="http://schemas.openxmlformats.org/officeDocument/2006/relationships/hyperlink" Target="https://www.promusicals.com/index.php?route=product/product&amp;product_id=1049&amp;search=Universal+Audio+UAFX+Starlight+Echo+Station+Stereo+Delay+Pedal" TargetMode="External"/><Relationship Id="rId72" Type="http://schemas.openxmlformats.org/officeDocument/2006/relationships/hyperlink" Target="https://www.promusicals.com/index.php?route=product/product&amp;path=515_528&amp;product_id=229&amp;mfp=manufacturers%5b58%5d" TargetMode="External"/><Relationship Id="rId93" Type="http://schemas.openxmlformats.org/officeDocument/2006/relationships/hyperlink" Target="https://www.promusicals.com/index.php?manufacturer_id=72&amp;product_id=2424&amp;route=product/product" TargetMode="External"/><Relationship Id="rId98" Type="http://schemas.openxmlformats.org/officeDocument/2006/relationships/hyperlink" Target="https://www.promusicals.com/index.php?manufacturer_id=72&amp;product_id=1306&amp;route=product/product" TargetMode="External"/><Relationship Id="rId3" Type="http://schemas.openxmlformats.org/officeDocument/2006/relationships/hyperlink" Target="https://www.promusicals.com/index.php?route=product/product&amp;product_id=2245" TargetMode="External"/><Relationship Id="rId25" Type="http://schemas.openxmlformats.org/officeDocument/2006/relationships/hyperlink" Target="https://www.promusicals.com/index.php?manufacturer_id=100&amp;product_id=1340&amp;route=product/product" TargetMode="External"/><Relationship Id="rId46" Type="http://schemas.openxmlformats.org/officeDocument/2006/relationships/hyperlink" Target="https://www.promusicals.com/index.php?route=product/product&amp;product_id=1659&amp;search=Mooer+ShimVerb+Digital+Reverb+Pedal" TargetMode="External"/><Relationship Id="rId67" Type="http://schemas.openxmlformats.org/officeDocument/2006/relationships/hyperlink" Target="https://www.promusicals.com/index.php?route=product/product&amp;product_id=1608&amp;search=two+note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craftindia.com/products/joyo-tweedy-bantamp-xl-series-mini-amp-head-20-watt-preamp-2-channel-hybrid-tube-guitar-amplifier-with-bluetooth-for-electric-guitar" TargetMode="External"/><Relationship Id="rId21" Type="http://schemas.openxmlformats.org/officeDocument/2006/relationships/hyperlink" Target="https://www.procraftindia.com/products/donner-ultimate-comp-compressor-pedal" TargetMode="External"/><Relationship Id="rId42" Type="http://schemas.openxmlformats.org/officeDocument/2006/relationships/hyperlink" Target="https://www.procraftindia.com/products/donner-white-tape-versatility-delay-pedal-time-effect-suits-for-synthesizersguitarsdrum-machines" TargetMode="External"/><Relationship Id="rId63" Type="http://schemas.openxmlformats.org/officeDocument/2006/relationships/hyperlink" Target="https://www.procraftindia.com/products/joyo-r-26-monomyth-bass-preamp-and-di-effects-pedal-true-bypass-cab-sim-eq" TargetMode="External"/><Relationship Id="rId84" Type="http://schemas.openxmlformats.org/officeDocument/2006/relationships/hyperlink" Target="https://www.procraftindia.com/products/donner-da-10b-3w-mini-guitar-amplifier" TargetMode="External"/><Relationship Id="rId138" Type="http://schemas.openxmlformats.org/officeDocument/2006/relationships/hyperlink" Target="https://www.procraftindia.com/products/lirevo-a30-acoustic-guitar-amplifier-30w-india" TargetMode="External"/><Relationship Id="rId159" Type="http://schemas.openxmlformats.org/officeDocument/2006/relationships/hyperlink" Target="https://www.procraftindia.com/products/procraft-ga10" TargetMode="External"/><Relationship Id="rId170" Type="http://schemas.openxmlformats.org/officeDocument/2006/relationships/hyperlink" Target="https://www.procraftindia.com/products/procraft-mg-25" TargetMode="External"/><Relationship Id="rId191" Type="http://schemas.openxmlformats.org/officeDocument/2006/relationships/hyperlink" Target="https://www.procraftindia.com/products/avatar-sd61-5-professional-electric-drum-set-mesh-electronic-drum-kit-with-447-sounds-dual-zone-snare-cymbal-with-choke-kick-tower-support-to-add-extra-tom-amp-cymbal" TargetMode="External"/><Relationship Id="rId205" Type="http://schemas.openxmlformats.org/officeDocument/2006/relationships/hyperlink" Target="https://www.procraftindia.com/products/donner-ded-95-electric-drum-set-electronic-drum-kit-for-beginner-with-kick-drum180-sounds-quiet-mesh-drum-set-with-drum-thronesticks-headphone-and-40-melodics-lessons-new-upgraded" TargetMode="External"/><Relationship Id="rId107" Type="http://schemas.openxmlformats.org/officeDocument/2006/relationships/hyperlink" Target="https://www.procraftindia.com/products/joyo-ja-05g-plug-and-play-electric-guitar-amp" TargetMode="External"/><Relationship Id="rId11" Type="http://schemas.openxmlformats.org/officeDocument/2006/relationships/hyperlink" Target="https://www.procraftindia.com/products/caline-cp-60-wine-cellar-bass-preamp-di-pedal" TargetMode="External"/><Relationship Id="rId32" Type="http://schemas.openxmlformats.org/officeDocument/2006/relationships/hyperlink" Target="https://www.procraftindia.com/products/donner-arena-2000-multi-effect-guitar-pedal-amp-modeling-multiple-effects-processor" TargetMode="External"/><Relationship Id="rId53" Type="http://schemas.openxmlformats.org/officeDocument/2006/relationships/hyperlink" Target="https://www.procraftindia.com/products/joyo-d-seed-ii-dual-channel-digital-delay-pedal" TargetMode="External"/><Relationship Id="rId74" Type="http://schemas.openxmlformats.org/officeDocument/2006/relationships/hyperlink" Target="https://www.procraftindia.com/products/joyo-jf-16-british-sound-guitar-effect-pedal-amp-simulator-bypass-dc-9v-and-battery-supported" TargetMode="External"/><Relationship Id="rId128" Type="http://schemas.openxmlformats.org/officeDocument/2006/relationships/hyperlink" Target="https://www.procraftindia.com/products/just-pro-fox150-pink-electric-guitar-amplifier" TargetMode="External"/><Relationship Id="rId149" Type="http://schemas.openxmlformats.org/officeDocument/2006/relationships/hyperlink" Target="https://www.procraftindia.com/products/lirevo-token-15-celestion-electric-guitar-amplifier" TargetMode="External"/><Relationship Id="rId5" Type="http://schemas.openxmlformats.org/officeDocument/2006/relationships/hyperlink" Target="https://www.procraftindia.com/products/audota-ave-100-vocal-multi-effects-processor-with-pitch-correction" TargetMode="External"/><Relationship Id="rId95" Type="http://schemas.openxmlformats.org/officeDocument/2006/relationships/hyperlink" Target="https://www.procraftindia.com/products/joyo-ac40s-acoustic-guitar-amplifier-40w-bluetooth-battery-india" TargetMode="External"/><Relationship Id="rId160" Type="http://schemas.openxmlformats.org/officeDocument/2006/relationships/hyperlink" Target="https://www.procraftindia.com/products/procraft-ga10" TargetMode="External"/><Relationship Id="rId181" Type="http://schemas.openxmlformats.org/officeDocument/2006/relationships/hyperlink" Target="https://www.procraftindia.com/products/udo-roesner-da-capo-75-guitar-amplifier" TargetMode="External"/><Relationship Id="rId22" Type="http://schemas.openxmlformats.org/officeDocument/2006/relationships/hyperlink" Target="https://www.procraftindia.com/products/donner-ultimate-comp-compressor-pedal" TargetMode="External"/><Relationship Id="rId43" Type="http://schemas.openxmlformats.org/officeDocument/2006/relationships/hyperlink" Target="https://www.procraftindia.com/products/donner-chorus-pedal-tutti-love-analog-chorus-effect-classic-warm-chorus-for-electric-guitar-true-bypass" TargetMode="External"/><Relationship Id="rId64" Type="http://schemas.openxmlformats.org/officeDocument/2006/relationships/hyperlink" Target="https://www.procraftindia.com/products/joyo-r-26-monomyth-bass-preamp-and-di-effects-pedal-true-bypass-cab-sim-eq" TargetMode="External"/><Relationship Id="rId118" Type="http://schemas.openxmlformats.org/officeDocument/2006/relationships/hyperlink" Target="https://www.procraftindia.com/products/joyo-tweedy-bantamp-xl-series-mini-amp-head-20-watt-preamp-2-channel-hybrid-tube-guitar-amplifier-with-bluetooth-for-electric-guitar" TargetMode="External"/><Relationship Id="rId139" Type="http://schemas.openxmlformats.org/officeDocument/2006/relationships/hyperlink" Target="https://www.procraftindia.com/products/lirevo-a60-60w-acoustic-guitar-amplifier-india" TargetMode="External"/><Relationship Id="rId85" Type="http://schemas.openxmlformats.org/officeDocument/2006/relationships/hyperlink" Target="https://www.procraftindia.com/products/donner-mini-guitar-amp-digital-5w-wireless-small-electric-guitar-amplifier-cyclops-guitar-portable-practice-amp-with-7-amp-models-3-types-effects-mod-delay-reverb-and-drum-machine" TargetMode="External"/><Relationship Id="rId150" Type="http://schemas.openxmlformats.org/officeDocument/2006/relationships/hyperlink" Target="https://www.procraftindia.com/products/lirevo-token-15-celestion-electric-guitar-amplifier" TargetMode="External"/><Relationship Id="rId171" Type="http://schemas.openxmlformats.org/officeDocument/2006/relationships/hyperlink" Target="https://www.procraftindia.com/products/r1-5w-bluetooth" TargetMode="External"/><Relationship Id="rId192" Type="http://schemas.openxmlformats.org/officeDocument/2006/relationships/hyperlink" Target="https://www.procraftindia.com/products/avatar-sd61-5-professional-electric-drum-set-mesh-electronic-drum-kit-with-447-sounds-dual-zone-snare-cymbal-with-choke-kick-tower-support-to-add-extra-tom-amp-cymbal" TargetMode="External"/><Relationship Id="rId206" Type="http://schemas.openxmlformats.org/officeDocument/2006/relationships/hyperlink" Target="https://www.procraftindia.com/products/donner-ded-95-electric-drum-set-electronic-drum-kit-for-beginner-with-kick-drum180-sounds-quiet-mesh-drum-set-with-drum-thronesticks-headphone-and-40-melodics-lessons-new-upgraded" TargetMode="External"/><Relationship Id="rId12" Type="http://schemas.openxmlformats.org/officeDocument/2006/relationships/hyperlink" Target="https://www.procraftindia.com/products/caline-cp-60-wine-cellar-bass-preamp-di-pedal" TargetMode="External"/><Relationship Id="rId33" Type="http://schemas.openxmlformats.org/officeDocument/2006/relationships/hyperlink" Target="https://www.procraftindia.com/products/donner-triple-looper-guitar-pedal-loop-pedal-with-screen-3-loops-30-mins-looping-time-looper-pedal-unlimited-overdubs-undoredo-true-bypass" TargetMode="External"/><Relationship Id="rId108" Type="http://schemas.openxmlformats.org/officeDocument/2006/relationships/hyperlink" Target="https://www.procraftindia.com/products/joyo-ja-05g-plug-and-play-electric-guitar-amp" TargetMode="External"/><Relationship Id="rId129" Type="http://schemas.openxmlformats.org/officeDocument/2006/relationships/hyperlink" Target="https://www.procraftindia.com/products/just-pro-fox150-pink-electric-guitar-amplifier" TargetMode="External"/><Relationship Id="rId54" Type="http://schemas.openxmlformats.org/officeDocument/2006/relationships/hyperlink" Target="https://www.procraftindia.com/products/joyo-d-seed-ii-dual-channel-digital-delay-pedal" TargetMode="External"/><Relationship Id="rId75" Type="http://schemas.openxmlformats.org/officeDocument/2006/relationships/hyperlink" Target="https://www.procraftindia.com/products/joyo-jf-12-voodoo-octave-fuzz-guitar-effect-pedal-true-bypass-dc-9v-and-battery-supported" TargetMode="External"/><Relationship Id="rId96" Type="http://schemas.openxmlformats.org/officeDocument/2006/relationships/hyperlink" Target="https://www.procraftindia.com/products/joyo-ac40s-acoustic-guitar-amplifier-40w-bluetooth-battery-india" TargetMode="External"/><Relationship Id="rId140" Type="http://schemas.openxmlformats.org/officeDocument/2006/relationships/hyperlink" Target="https://www.procraftindia.com/products/lirevo-a60-60w-acoustic-guitar-amplifier-india" TargetMode="External"/><Relationship Id="rId161" Type="http://schemas.openxmlformats.org/officeDocument/2006/relationships/hyperlink" Target="https://www.procraftindia.com/products/procraft-jungle10-8-watt-dsp-amplifier-with-effects" TargetMode="External"/><Relationship Id="rId182" Type="http://schemas.openxmlformats.org/officeDocument/2006/relationships/hyperlink" Target="https://www.procraftindia.com/products/udo-roesner-da-capo-75-guitar-amplifier" TargetMode="External"/><Relationship Id="rId6" Type="http://schemas.openxmlformats.org/officeDocument/2006/relationships/hyperlink" Target="https://www.procraftindia.com/products/audota-ave-100-vocal-multi-effects-processor-with-pitch-correction" TargetMode="External"/><Relationship Id="rId23" Type="http://schemas.openxmlformats.org/officeDocument/2006/relationships/hyperlink" Target="https://www.procraftindia.com/products/donner-circle-looper-pedal" TargetMode="External"/><Relationship Id="rId119" Type="http://schemas.openxmlformats.org/officeDocument/2006/relationships/hyperlink" Target="https://www.procraftindia.com/products/joyo-zombie-amplifier-20-watt-hybrid-mini-tube-head-bluetooth-bantamp-series" TargetMode="External"/><Relationship Id="rId44" Type="http://schemas.openxmlformats.org/officeDocument/2006/relationships/hyperlink" Target="https://www.procraftindia.com/products/donner-chorus-pedal-tutti-love-analog-chorus-effect-classic-warm-chorus-for-electric-guitar-true-bypass" TargetMode="External"/><Relationship Id="rId65" Type="http://schemas.openxmlformats.org/officeDocument/2006/relationships/hyperlink" Target="https://www.procraftindia.com/products/joyo-r-01-tauren-overdrive-boutique-style-drive-pedal" TargetMode="External"/><Relationship Id="rId86" Type="http://schemas.openxmlformats.org/officeDocument/2006/relationships/hyperlink" Target="https://www.procraftindia.com/products/donner-mini-guitar-amp-digital-5w-wireless-small-electric-guitar-amplifier-cyclops-guitar-portable-practice-amp-with-7-amp-models-3-types-effects-mod-delay-reverb-and-drum-machine" TargetMode="External"/><Relationship Id="rId130" Type="http://schemas.openxmlformats.org/officeDocument/2006/relationships/hyperlink" Target="https://www.procraftindia.com/products/just-pro-fox150-pink-electric-guitar-amplifier" TargetMode="External"/><Relationship Id="rId151" Type="http://schemas.openxmlformats.org/officeDocument/2006/relationships/hyperlink" Target="https://www.procraftindia.com/products/lirevo-token-30-30w-electric-guitar-amplifier" TargetMode="External"/><Relationship Id="rId172" Type="http://schemas.openxmlformats.org/officeDocument/2006/relationships/hyperlink" Target="https://www.procraftindia.com/products/r1-5w-bluetooth" TargetMode="External"/><Relationship Id="rId193" Type="http://schemas.openxmlformats.org/officeDocument/2006/relationships/hyperlink" Target="https://www.procraftindia.com/products/donner-backbeat-pro-electronic-drum-set" TargetMode="External"/><Relationship Id="rId207" Type="http://schemas.openxmlformats.org/officeDocument/2006/relationships/hyperlink" Target="https://www.procraftindia.com/products/donner-ded-20-roll-up-electronic-drum-set" TargetMode="External"/><Relationship Id="rId13" Type="http://schemas.openxmlformats.org/officeDocument/2006/relationships/hyperlink" Target="https://www.procraftindia.com/products/caline-cp24-10-band-eq-pedal" TargetMode="External"/><Relationship Id="rId109" Type="http://schemas.openxmlformats.org/officeDocument/2006/relationships/hyperlink" Target="https://www.procraftindia.com/products/joyo-jackman-amplifier-20-watt-hybrid-mini-tube-head-bluetooth-bantamp-series" TargetMode="External"/><Relationship Id="rId34" Type="http://schemas.openxmlformats.org/officeDocument/2006/relationships/hyperlink" Target="https://www.procraftindia.com/products/donner-triple-looper-guitar-pedal-loop-pedal-with-screen-3-loops-30-mins-looping-time-looper-pedal-unlimited-overdubs-undoredo-true-bypass" TargetMode="External"/><Relationship Id="rId55" Type="http://schemas.openxmlformats.org/officeDocument/2006/relationships/hyperlink" Target="https://www.procraftindia.com/products/joyo-tidal-wave-r-30-bass-preamp-di-pedal" TargetMode="External"/><Relationship Id="rId76" Type="http://schemas.openxmlformats.org/officeDocument/2006/relationships/hyperlink" Target="https://www.procraftindia.com/products/joyo-jf-12-voodoo-octave-fuzz-guitar-effect-pedal-true-bypass-dc-9v-and-battery-supported" TargetMode="External"/><Relationship Id="rId97" Type="http://schemas.openxmlformats.org/officeDocument/2006/relationships/hyperlink" Target="https://www.procraftindia.com/products/joyo-bsk40-40-watt-combo-amplifier-rechargeable-guitar-amp-vocal-two-channels-guitar-amp-with-drum-machine-reverb-chorus-delay-effects-and-bluetooth-xlr-amp-aux-in" TargetMode="External"/><Relationship Id="rId120" Type="http://schemas.openxmlformats.org/officeDocument/2006/relationships/hyperlink" Target="https://www.procraftindia.com/products/joyo-zombie-amplifier-20-watt-hybrid-mini-tube-head-bluetooth-bantamp-series" TargetMode="External"/><Relationship Id="rId141" Type="http://schemas.openxmlformats.org/officeDocument/2006/relationships/hyperlink" Target="https://www.procraftindia.com/products/fullstar-15-modelling-guitar-amplifier-india" TargetMode="External"/><Relationship Id="rId7" Type="http://schemas.openxmlformats.org/officeDocument/2006/relationships/hyperlink" Target="https://www.procraftindia.com/products/audota-ame-200-pro-multi-effects-processor-with-ir-support-usb-recording" TargetMode="External"/><Relationship Id="rId162" Type="http://schemas.openxmlformats.org/officeDocument/2006/relationships/hyperlink" Target="https://www.procraftindia.com/products/procraft-jungle10-8-watt-dsp-amplifier-with-effects" TargetMode="External"/><Relationship Id="rId183" Type="http://schemas.openxmlformats.org/officeDocument/2006/relationships/hyperlink" Target="https://www.procraftindia.com/products/avatar-a51-professional-9-piece-mesh-kit-electric-drumkit-set-with-shell-5pc-drum-pad-4pc-cymbal-pad" TargetMode="External"/><Relationship Id="rId24" Type="http://schemas.openxmlformats.org/officeDocument/2006/relationships/hyperlink" Target="https://www.procraftindia.com/products/donner-circle-looper-pedal" TargetMode="External"/><Relationship Id="rId45" Type="http://schemas.openxmlformats.org/officeDocument/2006/relationships/hyperlink" Target="https://www.procraftindia.com/products/donner-guitar-delay-pedal-yellow-fall-analog-delay-guitar-effect-pedal-vintage-delay-true-bypass" TargetMode="External"/><Relationship Id="rId66" Type="http://schemas.openxmlformats.org/officeDocument/2006/relationships/hyperlink" Target="https://www.procraftindia.com/products/joyo-r-01-tauren-overdrive-boutique-style-drive-pedal" TargetMode="External"/><Relationship Id="rId87" Type="http://schemas.openxmlformats.org/officeDocument/2006/relationships/hyperlink" Target="https://www.procraftindia.com/products/donner-mini-guitar-amp-small-electric-guitar-amplifier-5w-portable-for-desktop-practice-with-a-retro-british-tone-da-10" TargetMode="External"/><Relationship Id="rId110" Type="http://schemas.openxmlformats.org/officeDocument/2006/relationships/hyperlink" Target="https://www.procraftindia.com/products/joyo-jackman-amplifier-20-watt-hybrid-mini-tube-head-bluetooth-bantamp-series" TargetMode="External"/><Relationship Id="rId131" Type="http://schemas.openxmlformats.org/officeDocument/2006/relationships/hyperlink" Target="https://www.procraftindia.com/products/just-pro-fox150-pink-electric-guitar-amplifier" TargetMode="External"/><Relationship Id="rId61" Type="http://schemas.openxmlformats.org/officeDocument/2006/relationships/hyperlink" Target="https://www.procraftindia.com/products/joyo-uzi-r-03-high-gain-distortion-pedal" TargetMode="External"/><Relationship Id="rId82" Type="http://schemas.openxmlformats.org/officeDocument/2006/relationships/hyperlink" Target="https://www.procraftindia.com/products/joyo-jf-01-vintage-overdrive-guitar-effect-pedal-true-bypass-dc-9v-and-battery-supported" TargetMode="External"/><Relationship Id="rId152" Type="http://schemas.openxmlformats.org/officeDocument/2006/relationships/hyperlink" Target="https://www.procraftindia.com/products/lirevo-token-30-30w-electric-guitar-amplifier" TargetMode="External"/><Relationship Id="rId173" Type="http://schemas.openxmlformats.org/officeDocument/2006/relationships/hyperlink" Target="https://www.procraftindia.com/products/sqoe-20g-portable-electric-guitar-amplifier" TargetMode="External"/><Relationship Id="rId194" Type="http://schemas.openxmlformats.org/officeDocument/2006/relationships/hyperlink" Target="https://www.procraftindia.com/products/donner-backbeat-pro-electronic-drum-set" TargetMode="External"/><Relationship Id="rId199" Type="http://schemas.openxmlformats.org/officeDocument/2006/relationships/hyperlink" Target="https://www.procraftindia.com/products/donner-ded-500-pro-electronic-drum-set-with-industry-standard-mesh-heads-moving-hihat-and-included-bd-pedal-for-optimal-performance-and-feel-plus-usb-professional-studio-integration" TargetMode="External"/><Relationship Id="rId203" Type="http://schemas.openxmlformats.org/officeDocument/2006/relationships/hyperlink" Target="https://www.procraftindia.com/products/donner-ded-80-electric-drum-set-electronic-drum-kit-for-beginner-with-180-sounds-quiet-mesh-drum-set-with-heavy-duty-pedals-drum-throne-sticks-headphonekids-christmas-birthday-giftnew-upgraded" TargetMode="External"/><Relationship Id="rId208" Type="http://schemas.openxmlformats.org/officeDocument/2006/relationships/hyperlink" Target="https://www.procraftindia.com/products/donner-ded-20-roll-up-electronic-drum-set" TargetMode="External"/><Relationship Id="rId19" Type="http://schemas.openxmlformats.org/officeDocument/2006/relationships/hyperlink" Target="https://www.procraftindia.com/products/donner-morpher-high-gain-distortion-pedal" TargetMode="External"/><Relationship Id="rId14" Type="http://schemas.openxmlformats.org/officeDocument/2006/relationships/hyperlink" Target="https://www.procraftindia.com/products/caline-cp24-10-band-eq-pedal" TargetMode="External"/><Relationship Id="rId30" Type="http://schemas.openxmlformats.org/officeDocument/2006/relationships/hyperlink" Target="https://www.procraftindia.com/products/donner-acoustic-guitar-multi-effects-pedal-apl-8-classic-effects-delay-overdrive-chorus-6-ir-modes-8-min-looper-variety-of-interfaces-auto-notch-anti-howling-includes-power-adapter-and-usb-cable" TargetMode="External"/><Relationship Id="rId35" Type="http://schemas.openxmlformats.org/officeDocument/2006/relationships/hyperlink" Target="https://www.procraftindia.com/products/donner-reverb-guitar-pedal-verb-square-digital-reverb-7-modes-room-hall-church-spring-plate-studio-mod-true-bypass" TargetMode="External"/><Relationship Id="rId56" Type="http://schemas.openxmlformats.org/officeDocument/2006/relationships/hyperlink" Target="https://www.procraftindia.com/products/joyo-tidal-wave-r-30-bass-preamp-di-pedal" TargetMode="External"/><Relationship Id="rId77" Type="http://schemas.openxmlformats.org/officeDocument/2006/relationships/hyperlink" Target="https://www.procraftindia.com/products/joyo-jf-08-digital-delay-guitar-effect-pedal-true-bypass-dc-9v-and-battery-supported" TargetMode="External"/><Relationship Id="rId100" Type="http://schemas.openxmlformats.org/officeDocument/2006/relationships/hyperlink" Target="https://www.procraftindia.com/products/joyo-bsk80-80-watt-battery-powered-2-channel-amp-bluetooth-guitar-amplifier" TargetMode="External"/><Relationship Id="rId105" Type="http://schemas.openxmlformats.org/officeDocument/2006/relationships/hyperlink" Target="https://www.procraftindia.com/products/joyo-dc30-30w-digital-guitar-amplifier-with-drum-machine-and-effects" TargetMode="External"/><Relationship Id="rId126" Type="http://schemas.openxmlformats.org/officeDocument/2006/relationships/hyperlink" Target="https://www.procraftindia.com/products/just-pro-da102-electric-guitar-amplifier" TargetMode="External"/><Relationship Id="rId147" Type="http://schemas.openxmlformats.org/officeDocument/2006/relationships/hyperlink" Target="https://www.procraftindia.com/products/lirevo-token-10-10w-electric-amplifier" TargetMode="External"/><Relationship Id="rId168" Type="http://schemas.openxmlformats.org/officeDocument/2006/relationships/hyperlink" Target="https://www.procraftindia.com/products/procraft-mg-15" TargetMode="External"/><Relationship Id="rId8" Type="http://schemas.openxmlformats.org/officeDocument/2006/relationships/hyperlink" Target="https://www.procraftindia.com/products/audota-ame-200-pro-multi-effects-processor-with-ir-support-usb-recording" TargetMode="External"/><Relationship Id="rId51" Type="http://schemas.openxmlformats.org/officeDocument/2006/relationships/hyperlink" Target="https://www.procraftindia.com/products/joyo-gem-box-2-multi-guitar-effects-looper-drums-metronome-tuner" TargetMode="External"/><Relationship Id="rId72" Type="http://schemas.openxmlformats.org/officeDocument/2006/relationships/hyperlink" Target="https://www.procraftindia.com/products/joyo-reverb-effect-pedal-digital-guitar-pedal-with-3-reverb-effects-studio-church-plate-for-electric-guitar-true-bypass-moist-jf-20" TargetMode="External"/><Relationship Id="rId93" Type="http://schemas.openxmlformats.org/officeDocument/2006/relationships/hyperlink" Target="https://www.procraftindia.com/products/joyo-ac40-acoustic-amplifier-40w-reverb-delay-chorus-buskers-amp" TargetMode="External"/><Relationship Id="rId98" Type="http://schemas.openxmlformats.org/officeDocument/2006/relationships/hyperlink" Target="https://www.procraftindia.com/products/joyo-bsk40-40-watt-combo-amplifier-rechargeable-guitar-amp-vocal-two-channels-guitar-amp-with-drum-machine-reverb-chorus-delay-effects-and-bluetooth-xlr-amp-aux-in" TargetMode="External"/><Relationship Id="rId121" Type="http://schemas.openxmlformats.org/officeDocument/2006/relationships/hyperlink" Target="https://www.procraftindia.com/products/joyo-zombie-ii-dual-rectifier-bantamp-xl-series-mini-amp-head-20-watt-preamp-2-channel-hybrid-tube-guitar-amplifier-with-bluetooth" TargetMode="External"/><Relationship Id="rId142" Type="http://schemas.openxmlformats.org/officeDocument/2006/relationships/hyperlink" Target="https://www.procraftindia.com/products/fullstar-15-modelling-guitar-amplifier-india" TargetMode="External"/><Relationship Id="rId163" Type="http://schemas.openxmlformats.org/officeDocument/2006/relationships/hyperlink" Target="https://www.procraftindia.com/products/procraft-jungle20-dsp-electric-guitar-amplifier-with-effects-15w" TargetMode="External"/><Relationship Id="rId184" Type="http://schemas.openxmlformats.org/officeDocument/2006/relationships/hyperlink" Target="https://www.procraftindia.com/products/avatar-a51-professional-9-piece-mesh-kit-electric-drumkit-set-with-shell-5pc-drum-pad-4pc-cymbal-pad" TargetMode="External"/><Relationship Id="rId189" Type="http://schemas.openxmlformats.org/officeDocument/2006/relationships/hyperlink" Target="https://www.procraftindia.com/products/avatar-sd51-2-electric-drum-set" TargetMode="External"/><Relationship Id="rId3" Type="http://schemas.openxmlformats.org/officeDocument/2006/relationships/hyperlink" Target="https://www.procraftindia.com/products/audota-ame-100-ai-powered-multi-effects-processor" TargetMode="External"/><Relationship Id="rId25" Type="http://schemas.openxmlformats.org/officeDocument/2006/relationships/hyperlink" Target="https://www.procraftindia.com/products/donner-blues-drive-vintage-overdrive-pedal-ec743" TargetMode="External"/><Relationship Id="rId46" Type="http://schemas.openxmlformats.org/officeDocument/2006/relationships/hyperlink" Target="https://www.procraftindia.com/products/donner-guitar-delay-pedal-yellow-fall-analog-delay-guitar-effect-pedal-vintage-delay-true-bypass" TargetMode="External"/><Relationship Id="rId67" Type="http://schemas.openxmlformats.org/officeDocument/2006/relationships/hyperlink" Target="https://www.procraftindia.com/products/joyo-classic-wah-i-mini-wah-pedalvolume-pedalmultifunctional-and-portable" TargetMode="External"/><Relationship Id="rId116" Type="http://schemas.openxmlformats.org/officeDocument/2006/relationships/hyperlink" Target="https://www.procraftindia.com/products/joyo-klonz-limited-white-tube-amp-head-india-149000" TargetMode="External"/><Relationship Id="rId137" Type="http://schemas.openxmlformats.org/officeDocument/2006/relationships/hyperlink" Target="https://www.procraftindia.com/products/lirevo-a30-acoustic-guitar-amplifier-30w-india" TargetMode="External"/><Relationship Id="rId158" Type="http://schemas.openxmlformats.org/officeDocument/2006/relationships/hyperlink" Target="https://www.procraftindia.com/products/procraft-amps-eg15" TargetMode="External"/><Relationship Id="rId20" Type="http://schemas.openxmlformats.org/officeDocument/2006/relationships/hyperlink" Target="https://www.procraftindia.com/products/donner-morpher-high-gain-distortion-pedal" TargetMode="External"/><Relationship Id="rId41" Type="http://schemas.openxmlformats.org/officeDocument/2006/relationships/hyperlink" Target="https://www.procraftindia.com/products/donner-white-tape-versatility-delay-pedal-time-effect-suits-for-synthesizersguitarsdrum-machines" TargetMode="External"/><Relationship Id="rId62" Type="http://schemas.openxmlformats.org/officeDocument/2006/relationships/hyperlink" Target="https://www.procraftindia.com/products/joyo-uzi-r-03-high-gain-distortion-pedal" TargetMode="External"/><Relationship Id="rId83" Type="http://schemas.openxmlformats.org/officeDocument/2006/relationships/hyperlink" Target="https://www.procraftindia.com/products/donner-da-10b-3w-mini-guitar-amplifier" TargetMode="External"/><Relationship Id="rId88" Type="http://schemas.openxmlformats.org/officeDocument/2006/relationships/hyperlink" Target="https://www.procraftindia.com/products/donner-mini-guitar-amp-small-electric-guitar-amplifier-5w-portable-for-desktop-practice-with-a-retro-british-tone-da-10" TargetMode="External"/><Relationship Id="rId111" Type="http://schemas.openxmlformats.org/officeDocument/2006/relationships/hyperlink" Target="https://www.procraftindia.com/products/joyo-jambuddy-2-portable-smart-guitar-amp-india" TargetMode="External"/><Relationship Id="rId132" Type="http://schemas.openxmlformats.org/officeDocument/2006/relationships/hyperlink" Target="https://www.procraftindia.com/products/just-pro-fox150-pink-electric-guitar-amplifier" TargetMode="External"/><Relationship Id="rId153" Type="http://schemas.openxmlformats.org/officeDocument/2006/relationships/hyperlink" Target="https://www.procraftindia.com/products/ga20rt-bluetooth-amp-20w" TargetMode="External"/><Relationship Id="rId174" Type="http://schemas.openxmlformats.org/officeDocument/2006/relationships/hyperlink" Target="https://www.procraftindia.com/products/sqoe-20g-portable-electric-guitar-amplifier" TargetMode="External"/><Relationship Id="rId179" Type="http://schemas.openxmlformats.org/officeDocument/2006/relationships/hyperlink" Target="https://www.procraftindia.com/products/strydom-mini-riot-8w-portable-guitar-amplifier" TargetMode="External"/><Relationship Id="rId195" Type="http://schemas.openxmlformats.org/officeDocument/2006/relationships/hyperlink" Target="https://www.procraftindia.com/products/donner-backbeat-electric-drum-set-with-high-tech-7-inch-touchscreen-1126-sounds-customize-drum-pad-colors-internal-rack-wiring-and-gaming-app-for-ultimate-fun" TargetMode="External"/><Relationship Id="rId209" Type="http://schemas.openxmlformats.org/officeDocument/2006/relationships/hyperlink" Target="https://www.procraftindia.com/products/donner-ded-200-pro-electronic-drum-set-5-drum-4-cymbal-450-sound-with-drum-throneheadphone" TargetMode="External"/><Relationship Id="rId190" Type="http://schemas.openxmlformats.org/officeDocument/2006/relationships/hyperlink" Target="https://www.procraftindia.com/products/avatar-sd51-2-electric-drum-set" TargetMode="External"/><Relationship Id="rId204" Type="http://schemas.openxmlformats.org/officeDocument/2006/relationships/hyperlink" Target="https://www.procraftindia.com/products/donner-ded-80-electric-drum-set-electronic-drum-kit-for-beginner-with-180-sounds-quiet-mesh-drum-set-with-heavy-duty-pedals-drum-throne-sticks-headphonekids-christmas-birthday-giftnew-upgraded" TargetMode="External"/><Relationship Id="rId15" Type="http://schemas.openxmlformats.org/officeDocument/2006/relationships/hyperlink" Target="https://www.procraftindia.com/products/caline-cp12-pure-sky-overdrive-pedal" TargetMode="External"/><Relationship Id="rId36" Type="http://schemas.openxmlformats.org/officeDocument/2006/relationships/hyperlink" Target="https://www.procraftindia.com/products/donner-reverb-guitar-pedal-verb-square-digital-reverb-7-modes-room-hall-church-spring-plate-studio-mod-true-bypass" TargetMode="External"/><Relationship Id="rId57" Type="http://schemas.openxmlformats.org/officeDocument/2006/relationships/hyperlink" Target="https://www.procraftindia.com/products/joyo-baatsin-r-11-8-mode-overdrive-pedal" TargetMode="External"/><Relationship Id="rId106" Type="http://schemas.openxmlformats.org/officeDocument/2006/relationships/hyperlink" Target="https://www.procraftindia.com/products/joyo-dc30-30w-digital-guitar-amplifier-with-drum-machine-and-effects" TargetMode="External"/><Relationship Id="rId127" Type="http://schemas.openxmlformats.org/officeDocument/2006/relationships/hyperlink" Target="https://www.procraftindia.com/products/just-pro-fox150-pink-electric-guitar-amplifier" TargetMode="External"/><Relationship Id="rId10" Type="http://schemas.openxmlformats.org/officeDocument/2006/relationships/hyperlink" Target="https://www.procraftindia.com/products/audota-ame-200-multi-effects-processor-with-ir-support-usb-recording" TargetMode="External"/><Relationship Id="rId31" Type="http://schemas.openxmlformats.org/officeDocument/2006/relationships/hyperlink" Target="https://www.procraftindia.com/products/donner-arena-2000-multi-effect-guitar-pedal-amp-modeling-multiple-effects-processor" TargetMode="External"/><Relationship Id="rId52" Type="http://schemas.openxmlformats.org/officeDocument/2006/relationships/hyperlink" Target="https://www.procraftindia.com/products/joyo-gem-box-2-multi-guitar-effects-looper-drums-metronome-tuner" TargetMode="External"/><Relationship Id="rId73" Type="http://schemas.openxmlformats.org/officeDocument/2006/relationships/hyperlink" Target="https://www.procraftindia.com/products/joyo-jf-16-british-sound-guitar-effect-pedal-amp-simulator-bypass-dc-9v-and-battery-supported" TargetMode="External"/><Relationship Id="rId78" Type="http://schemas.openxmlformats.org/officeDocument/2006/relationships/hyperlink" Target="https://www.procraftindia.com/products/joyo-jf-08-digital-delay-guitar-effect-pedal-true-bypass-dc-9v-and-battery-supported" TargetMode="External"/><Relationship Id="rId94" Type="http://schemas.openxmlformats.org/officeDocument/2006/relationships/hyperlink" Target="https://www.procraftindia.com/products/joyo-ac40-acoustic-amplifier-40w-reverb-delay-chorus-buskers-amp" TargetMode="External"/><Relationship Id="rId99" Type="http://schemas.openxmlformats.org/officeDocument/2006/relationships/hyperlink" Target="https://www.procraftindia.com/products/joyo-bsk80-80-watt-battery-powered-2-channel-amp-bluetooth-guitar-amplifier" TargetMode="External"/><Relationship Id="rId101" Type="http://schemas.openxmlformats.org/officeDocument/2006/relationships/hyperlink" Target="https://www.procraftindia.com/products/joyo-dc-15-15w-digital-guitar-amplifier-with-delay-reverb-effect-36-pattern-drum" TargetMode="External"/><Relationship Id="rId122" Type="http://schemas.openxmlformats.org/officeDocument/2006/relationships/hyperlink" Target="https://www.procraftindia.com/products/joyo-zombie-ii-dual-rectifier-bantamp-xl-series-mini-amp-head-20-watt-preamp-2-channel-hybrid-tube-guitar-amplifier-with-bluetooth" TargetMode="External"/><Relationship Id="rId143" Type="http://schemas.openxmlformats.org/officeDocument/2006/relationships/hyperlink" Target="https://www.procraftindia.com/products/fullstar-30-modelling-guitar-amplifier-india" TargetMode="External"/><Relationship Id="rId148" Type="http://schemas.openxmlformats.org/officeDocument/2006/relationships/hyperlink" Target="https://www.procraftindia.com/products/lirevo-token-10-10w-electric-amplifier" TargetMode="External"/><Relationship Id="rId164" Type="http://schemas.openxmlformats.org/officeDocument/2006/relationships/hyperlink" Target="https://www.procraftindia.com/products/procraft-jungle20-dsp-electric-guitar-amplifier-with-effects-15w" TargetMode="External"/><Relationship Id="rId169" Type="http://schemas.openxmlformats.org/officeDocument/2006/relationships/hyperlink" Target="https://www.procraftindia.com/products/procraft-mg-25" TargetMode="External"/><Relationship Id="rId185" Type="http://schemas.openxmlformats.org/officeDocument/2006/relationships/hyperlink" Target="https://www.procraftindia.com/products/avatar-pd705-sample-pad-portable-multipad-for-drummers-with-9-velocity-sensitive-drum-pads-592-percussion-sounds-support-usbmidi-in-outaux" TargetMode="External"/><Relationship Id="rId4" Type="http://schemas.openxmlformats.org/officeDocument/2006/relationships/hyperlink" Target="https://www.procraftindia.com/products/audota-ame-100-ai-powered-multi-effects-processor" TargetMode="External"/><Relationship Id="rId9" Type="http://schemas.openxmlformats.org/officeDocument/2006/relationships/hyperlink" Target="https://www.procraftindia.com/products/audota-ame-200-multi-effects-processor-with-ir-support-usb-recording" TargetMode="External"/><Relationship Id="rId180" Type="http://schemas.openxmlformats.org/officeDocument/2006/relationships/hyperlink" Target="https://www.procraftindia.com/products/strydom-mini-riot-8w-portable-guitar-amplifier" TargetMode="External"/><Relationship Id="rId210" Type="http://schemas.openxmlformats.org/officeDocument/2006/relationships/hyperlink" Target="https://www.procraftindia.com/products/donner-ded-200-pro-electronic-drum-set-5-drum-4-cymbal-450-sound-with-drum-throneheadphone" TargetMode="External"/><Relationship Id="rId26" Type="http://schemas.openxmlformats.org/officeDocument/2006/relationships/hyperlink" Target="https://www.procraftindia.com/products/donner-blues-drive-vintage-overdrive-pedal-ec743" TargetMode="External"/><Relationship Id="rId47" Type="http://schemas.openxmlformats.org/officeDocument/2006/relationships/hyperlink" Target="https://www.procraftindia.com/products/donner-tuner-pedal-dt-1-chromatic-guitar-tuner-pedal-with-pitch-indicator-for-electric-guitar-and-bass-true-bypass" TargetMode="External"/><Relationship Id="rId68" Type="http://schemas.openxmlformats.org/officeDocument/2006/relationships/hyperlink" Target="https://www.procraftindia.com/products/joyo-classic-wah-i-mini-wah-pedalvolume-pedalmultifunctional-and-portable" TargetMode="External"/><Relationship Id="rId89" Type="http://schemas.openxmlformats.org/officeDocument/2006/relationships/hyperlink" Target="https://www.procraftindia.com/products/joyo-20w-ac20s-guitar-amp-for-acoustic-guitar" TargetMode="External"/><Relationship Id="rId112" Type="http://schemas.openxmlformats.org/officeDocument/2006/relationships/hyperlink" Target="https://www.procraftindia.com/products/joyo-jambuddy-2-portable-smart-guitar-amp-india" TargetMode="External"/><Relationship Id="rId133" Type="http://schemas.openxmlformats.org/officeDocument/2006/relationships/hyperlink" Target="https://www.procraftindia.com/products/just-pro-md15-acoustic-electric-guitar-amplifier" TargetMode="External"/><Relationship Id="rId154" Type="http://schemas.openxmlformats.org/officeDocument/2006/relationships/hyperlink" Target="https://www.procraftindia.com/products/ga20rt-bluetooth-amp-20w" TargetMode="External"/><Relationship Id="rId175" Type="http://schemas.openxmlformats.org/officeDocument/2006/relationships/hyperlink" Target="https://www.procraftindia.com/products/sqoe-40g-portable-electric-guitar-amplifier-with-effects" TargetMode="External"/><Relationship Id="rId196" Type="http://schemas.openxmlformats.org/officeDocument/2006/relationships/hyperlink" Target="https://www.procraftindia.com/products/donner-backbeat-electric-drum-set-with-high-tech-7-inch-touchscreen-1126-sounds-customize-drum-pad-colors-internal-rack-wiring-and-gaming-app-for-ultimate-fun" TargetMode="External"/><Relationship Id="rId200" Type="http://schemas.openxmlformats.org/officeDocument/2006/relationships/hyperlink" Target="https://www.procraftindia.com/products/donner-ded-500-pro-electronic-drum-set-with-industry-standard-mesh-heads-moving-hihat-and-included-bd-pedal-for-optimal-performance-and-feel-plus-usb-professional-studio-integration" TargetMode="External"/><Relationship Id="rId16" Type="http://schemas.openxmlformats.org/officeDocument/2006/relationships/hyperlink" Target="https://www.procraftindia.com/products/caline-cp12-pure-sky-overdrive-pedal" TargetMode="External"/><Relationship Id="rId37" Type="http://schemas.openxmlformats.org/officeDocument/2006/relationships/hyperlink" Target="https://www.procraftindia.com/products/donner-guitar-wah-pedal-2-in-1-wah-volume-pedal-mini-vintage-electric-guitar-effect-pedal-with-wah-wah-active-volume-control-vowel-lightweight-guitar-pedal" TargetMode="External"/><Relationship Id="rId58" Type="http://schemas.openxmlformats.org/officeDocument/2006/relationships/hyperlink" Target="https://www.procraftindia.com/products/joyo-baatsin-r-11-8-mode-overdrive-pedal" TargetMode="External"/><Relationship Id="rId79" Type="http://schemas.openxmlformats.org/officeDocument/2006/relationships/hyperlink" Target="https://www.procraftindia.com/products/joyo-jf-07-classic-flanger-metallic-flange-sounds-guitar-effect-pedal-true-bypass-dc-9v-and-battery-supported" TargetMode="External"/><Relationship Id="rId102" Type="http://schemas.openxmlformats.org/officeDocument/2006/relationships/hyperlink" Target="https://www.procraftindia.com/products/joyo-dc-15-15w-digital-guitar-amplifier-with-delay-reverb-effect-36-pattern-drum" TargetMode="External"/><Relationship Id="rId123" Type="http://schemas.openxmlformats.org/officeDocument/2006/relationships/hyperlink" Target="https://www.procraftindia.com/products/just-pro-ac70s-acoustic-guitar-amplifier" TargetMode="External"/><Relationship Id="rId144" Type="http://schemas.openxmlformats.org/officeDocument/2006/relationships/hyperlink" Target="https://www.procraftindia.com/products/fullstar-30-modelling-guitar-amplifier-india" TargetMode="External"/><Relationship Id="rId90" Type="http://schemas.openxmlformats.org/officeDocument/2006/relationships/hyperlink" Target="https://www.procraftindia.com/products/joyo-20w-ac20s-guitar-amp-for-acoustic-guitar" TargetMode="External"/><Relationship Id="rId165" Type="http://schemas.openxmlformats.org/officeDocument/2006/relationships/hyperlink" Target="https://www.procraftindia.com/products/procraft-jungle30-dsp-electric-amplifier-with-effects-30w" TargetMode="External"/><Relationship Id="rId186" Type="http://schemas.openxmlformats.org/officeDocument/2006/relationships/hyperlink" Target="https://www.procraftindia.com/products/avatar-pd705-sample-pad-portable-multipad-for-drummers-with-9-velocity-sensitive-drum-pads-592-percussion-sounds-support-usbmidi-in-outaux" TargetMode="External"/><Relationship Id="rId211" Type="http://schemas.openxmlformats.org/officeDocument/2006/relationships/hyperlink" Target="https://www.procraftindia.com/products/donner-groove-ultra-electronic-drum-kit" TargetMode="External"/><Relationship Id="rId27" Type="http://schemas.openxmlformats.org/officeDocument/2006/relationships/hyperlink" Target="https://www.procraftindia.com/products/donner-pocket-x-multi-effects-guitar-pedal-guitarbass-amp-modeler-multi-effects-processor-portable-rechargeable-guitar-pedal-with-6-effects-modules-80-presets-20-irs-for-electric-guitar" TargetMode="External"/><Relationship Id="rId48" Type="http://schemas.openxmlformats.org/officeDocument/2006/relationships/hyperlink" Target="https://www.procraftindia.com/products/donner-tuner-pedal-dt-1-chromatic-guitar-tuner-pedal-with-pitch-indicator-for-electric-guitar-and-bass-true-bypass" TargetMode="External"/><Relationship Id="rId69" Type="http://schemas.openxmlformats.org/officeDocument/2006/relationships/hyperlink" Target="https://www.procraftindia.com/products/joyo-distortion-guitar-effect-pedal-with-selectable-mosfet" TargetMode="External"/><Relationship Id="rId113" Type="http://schemas.openxmlformats.org/officeDocument/2006/relationships/hyperlink" Target="https://www.procraftindia.com/products/joyo-jta-05-quotsweet-babyquot-vintage-style-all-tube-guitar-amplifier-5-watt" TargetMode="External"/><Relationship Id="rId134" Type="http://schemas.openxmlformats.org/officeDocument/2006/relationships/hyperlink" Target="https://www.procraftindia.com/products/just-pro-md15-acoustic-electric-guitar-amplifier" TargetMode="External"/><Relationship Id="rId80" Type="http://schemas.openxmlformats.org/officeDocument/2006/relationships/hyperlink" Target="https://www.procraftindia.com/products/joyo-jf-07-classic-flanger-metallic-flange-sounds-guitar-effect-pedal-true-bypass-dc-9v-and-battery-supported" TargetMode="External"/><Relationship Id="rId155" Type="http://schemas.openxmlformats.org/officeDocument/2006/relationships/hyperlink" Target="https://www.procraftindia.com/products/gb15-bluetooth-rechargeable-amp" TargetMode="External"/><Relationship Id="rId176" Type="http://schemas.openxmlformats.org/officeDocument/2006/relationships/hyperlink" Target="https://www.procraftindia.com/products/sqoe-40g-portable-electric-guitar-amplifier-with-effects" TargetMode="External"/><Relationship Id="rId197" Type="http://schemas.openxmlformats.org/officeDocument/2006/relationships/hyperlink" Target="https://www.procraftindia.com/products/donner-beat-5-drum-3-cymbal-electronic-drum-set-with-touch-screen-for-pros" TargetMode="External"/><Relationship Id="rId201" Type="http://schemas.openxmlformats.org/officeDocument/2006/relationships/hyperlink" Target="https://www.procraftindia.com/products/donner-ded-70-electric-drum-set-quiet-electronic-drum-kit-for-beginner-with-mesh-pad-portable-drum-set-support-portable-charger-supply-drum-throne-sticks-headphone" TargetMode="External"/><Relationship Id="rId17" Type="http://schemas.openxmlformats.org/officeDocument/2006/relationships/hyperlink" Target="https://www.procraftindia.com/products/caline-cp47-pressure-tank-compressor-pedal" TargetMode="External"/><Relationship Id="rId38" Type="http://schemas.openxmlformats.org/officeDocument/2006/relationships/hyperlink" Target="https://www.procraftindia.com/products/donner-guitar-wah-pedal-2-in-1-wah-volume-pedal-mini-vintage-electric-guitar-effect-pedal-with-wah-wah-active-volume-control-vowel-lightweight-guitar-pedal" TargetMode="External"/><Relationship Id="rId59" Type="http://schemas.openxmlformats.org/officeDocument/2006/relationships/hyperlink" Target="https://www.procraftindia.com/products/joyo-band-controller-r-12-10-band-eq-pedal" TargetMode="External"/><Relationship Id="rId103" Type="http://schemas.openxmlformats.org/officeDocument/2006/relationships/hyperlink" Target="https://www.procraftindia.com/products/joyo-dc-15-s-guitar-amplifier-15w-with-multi-fx-looper-bluetooth-footswitch" TargetMode="External"/><Relationship Id="rId124" Type="http://schemas.openxmlformats.org/officeDocument/2006/relationships/hyperlink" Target="https://www.procraftindia.com/products/just-pro-ac70s-acoustic-guitar-amplifier" TargetMode="External"/><Relationship Id="rId70" Type="http://schemas.openxmlformats.org/officeDocument/2006/relationships/hyperlink" Target="https://www.procraftindia.com/products/joyo-distortion-guitar-effect-pedal-with-selectable-mosfet" TargetMode="External"/><Relationship Id="rId91" Type="http://schemas.openxmlformats.org/officeDocument/2006/relationships/hyperlink" Target="https://www.procraftindia.com/products/joyo-ac20-acoustic-guitar-amplifier-with-mic-channel-20-watts" TargetMode="External"/><Relationship Id="rId145" Type="http://schemas.openxmlformats.org/officeDocument/2006/relationships/hyperlink" Target="https://www.procraftindia.com/products/fullstar-80-modelling-guitar-amplifier-india" TargetMode="External"/><Relationship Id="rId166" Type="http://schemas.openxmlformats.org/officeDocument/2006/relationships/hyperlink" Target="https://www.procraftindia.com/products/procraft-jungle30-dsp-electric-amplifier-with-effects-30w" TargetMode="External"/><Relationship Id="rId187" Type="http://schemas.openxmlformats.org/officeDocument/2006/relationships/hyperlink" Target="https://www.procraftindia.com/products/avatar-sd201-3sh-digital-drum-mesh-head-9-pieces-with-drum-throne-5-drum-pad" TargetMode="External"/><Relationship Id="rId1" Type="http://schemas.openxmlformats.org/officeDocument/2006/relationships/hyperlink" Target="https://www.procraftindia.com/products/audota-ace-100-intelligent-combined-effects-pedal-with-ir-support" TargetMode="External"/><Relationship Id="rId212" Type="http://schemas.openxmlformats.org/officeDocument/2006/relationships/hyperlink" Target="https://www.procraftindia.com/products/donner-groove-ultra-electronic-drum-kit" TargetMode="External"/><Relationship Id="rId28" Type="http://schemas.openxmlformats.org/officeDocument/2006/relationships/hyperlink" Target="https://www.procraftindia.com/products/donner-pocket-x-multi-effects-guitar-pedal-guitarbass-amp-modeler-multi-effects-processor-portable-rechargeable-guitar-pedal-with-6-effects-modules-80-presets-20-irs-for-electric-guitar" TargetMode="External"/><Relationship Id="rId49" Type="http://schemas.openxmlformats.org/officeDocument/2006/relationships/hyperlink" Target="https://www.procraftindia.com/products/joyo-gem-box-k8-guitar-multi-effects-processor-pedal-with-5quot-touchscreen-160-effects-400-presets-amp-modeling-ir-loader-drum-machine-amp-usb-audio-interface-all-in-one-pedalboard-for-studiolive" TargetMode="External"/><Relationship Id="rId114" Type="http://schemas.openxmlformats.org/officeDocument/2006/relationships/hyperlink" Target="https://www.procraftindia.com/products/joyo-jta-05-quotsweet-babyquot-vintage-style-all-tube-guitar-amplifier-5-watt" TargetMode="External"/><Relationship Id="rId60" Type="http://schemas.openxmlformats.org/officeDocument/2006/relationships/hyperlink" Target="https://www.procraftindia.com/products/joyo-band-controller-r-12-10-band-eq-pedal" TargetMode="External"/><Relationship Id="rId81" Type="http://schemas.openxmlformats.org/officeDocument/2006/relationships/hyperlink" Target="https://www.procraftindia.com/products/joyo-jf-01-vintage-overdrive-guitar-effect-pedal-true-bypass-dc-9v-and-battery-supported" TargetMode="External"/><Relationship Id="rId135" Type="http://schemas.openxmlformats.org/officeDocument/2006/relationships/hyperlink" Target="https://www.procraftindia.com/products/justpro-mx100-100w-amplifier-4-independent-channels-noise-elimination" TargetMode="External"/><Relationship Id="rId156" Type="http://schemas.openxmlformats.org/officeDocument/2006/relationships/hyperlink" Target="https://www.procraftindia.com/products/gb15-bluetooth-rechargeable-amp" TargetMode="External"/><Relationship Id="rId177" Type="http://schemas.openxmlformats.org/officeDocument/2006/relationships/hyperlink" Target="https://www.procraftindia.com/products/sqoe-60g-electric-guitar-amplifier-with-effects" TargetMode="External"/><Relationship Id="rId198" Type="http://schemas.openxmlformats.org/officeDocument/2006/relationships/hyperlink" Target="https://www.procraftindia.com/products/donner-beat-5-drum-3-cymbal-electronic-drum-set-with-touch-screen-for-pros" TargetMode="External"/><Relationship Id="rId202" Type="http://schemas.openxmlformats.org/officeDocument/2006/relationships/hyperlink" Target="https://www.procraftindia.com/products/donner-ded-70-electric-drum-set-quiet-electronic-drum-kit-for-beginner-with-mesh-pad-portable-drum-set-support-portable-charger-supply-drum-throne-sticks-headphone" TargetMode="External"/><Relationship Id="rId18" Type="http://schemas.openxmlformats.org/officeDocument/2006/relationships/hyperlink" Target="https://www.procraftindia.com/products/caline-cp47-pressure-tank-compressor-pedal" TargetMode="External"/><Relationship Id="rId39" Type="http://schemas.openxmlformats.org/officeDocument/2006/relationships/hyperlink" Target="https://www.procraftindia.com/products/donner-dumbal-drive-overdrive-guitar-pedal-transparent-overdrive-with-2-band-eq-boost-effect-pure-analog-true-bypass" TargetMode="External"/><Relationship Id="rId50" Type="http://schemas.openxmlformats.org/officeDocument/2006/relationships/hyperlink" Target="https://www.procraftindia.com/products/joyo-gem-box-k8-guitar-multi-effects-processor-pedal-with-5quot-touchscreen-160-effects-400-presets-amp-modeling-ir-loader-drum-machine-amp-usb-audio-interface-all-in-one-pedalboard-for-studiolive" TargetMode="External"/><Relationship Id="rId104" Type="http://schemas.openxmlformats.org/officeDocument/2006/relationships/hyperlink" Target="https://www.procraftindia.com/products/joyo-dc-15-s-guitar-amplifier-15w-with-multi-fx-looper-bluetooth-footswitch" TargetMode="External"/><Relationship Id="rId125" Type="http://schemas.openxmlformats.org/officeDocument/2006/relationships/hyperlink" Target="https://www.procraftindia.com/products/just-pro-da102-electric-guitar-amplifier" TargetMode="External"/><Relationship Id="rId146" Type="http://schemas.openxmlformats.org/officeDocument/2006/relationships/hyperlink" Target="https://www.procraftindia.com/products/fullstar-80-modelling-guitar-amplifier-india" TargetMode="External"/><Relationship Id="rId167" Type="http://schemas.openxmlformats.org/officeDocument/2006/relationships/hyperlink" Target="https://www.procraftindia.com/products/procraft-mg-15" TargetMode="External"/><Relationship Id="rId188" Type="http://schemas.openxmlformats.org/officeDocument/2006/relationships/hyperlink" Target="https://www.procraftindia.com/products/avatar-sd201-3sh-digital-drum-mesh-head-9-pieces-with-drum-throne-5-drum-pad" TargetMode="External"/><Relationship Id="rId71" Type="http://schemas.openxmlformats.org/officeDocument/2006/relationships/hyperlink" Target="https://www.procraftindia.com/products/joyo-reverb-effect-pedal-digital-guitar-pedal-with-3-reverb-effects-studio-church-plate-for-electric-guitar-true-bypass-moist-jf-20" TargetMode="External"/><Relationship Id="rId92" Type="http://schemas.openxmlformats.org/officeDocument/2006/relationships/hyperlink" Target="https://www.procraftindia.com/products/joyo-ac20-acoustic-guitar-amplifier-with-mic-channel-20-watts" TargetMode="External"/><Relationship Id="rId2" Type="http://schemas.openxmlformats.org/officeDocument/2006/relationships/hyperlink" Target="https://www.procraftindia.com/products/audota-ace-100-intelligent-combined-effects-pedal-with-ir-support" TargetMode="External"/><Relationship Id="rId29" Type="http://schemas.openxmlformats.org/officeDocument/2006/relationships/hyperlink" Target="https://www.procraftindia.com/products/donner-acoustic-guitar-multi-effects-pedal-apl-8-classic-effects-delay-overdrive-chorus-6-ir-modes-8-min-looper-variety-of-interfaces-auto-notch-anti-howling-includes-power-adapter-and-usb-cable" TargetMode="External"/><Relationship Id="rId40" Type="http://schemas.openxmlformats.org/officeDocument/2006/relationships/hyperlink" Target="https://www.procraftindia.com/products/donner-dumbal-drive-overdrive-guitar-pedal-transparent-overdrive-with-2-band-eq-boost-effect-pure-analog-true-bypass" TargetMode="External"/><Relationship Id="rId115" Type="http://schemas.openxmlformats.org/officeDocument/2006/relationships/hyperlink" Target="https://www.procraftindia.com/products/joyo-klonz-limited-white-tube-amp-head-india-149000" TargetMode="External"/><Relationship Id="rId136" Type="http://schemas.openxmlformats.org/officeDocument/2006/relationships/hyperlink" Target="https://www.procraftindia.com/products/justpro-mx100-100w-amplifier-4-independent-channels-noise-elimination" TargetMode="External"/><Relationship Id="rId157" Type="http://schemas.openxmlformats.org/officeDocument/2006/relationships/hyperlink" Target="https://www.procraftindia.com/products/procraft-amps-eg15" TargetMode="External"/><Relationship Id="rId178" Type="http://schemas.openxmlformats.org/officeDocument/2006/relationships/hyperlink" Target="https://www.procraftindia.com/products/sqoe-60g-electric-guitar-amplifier-with-eff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543" workbookViewId="0">
      <selection activeCell="B634" sqref="B634:C638"/>
    </sheetView>
  </sheetViews>
  <sheetFormatPr defaultColWidth="14.44140625" defaultRowHeight="15" customHeight="1"/>
  <cols>
    <col min="1" max="1" width="14.44140625" customWidth="1"/>
    <col min="2" max="2" width="72" customWidth="1"/>
    <col min="3" max="3" width="18" customWidth="1"/>
    <col min="4" max="26" width="8.88671875" customWidth="1"/>
  </cols>
  <sheetData>
    <row r="1" spans="1:3" ht="21">
      <c r="A1" s="77" t="s">
        <v>1</v>
      </c>
      <c r="B1" s="67"/>
      <c r="C1" s="68"/>
    </row>
    <row r="2" spans="1:3" ht="17.399999999999999">
      <c r="A2" s="78" t="s">
        <v>4</v>
      </c>
      <c r="B2" s="67"/>
      <c r="C2" s="68"/>
    </row>
    <row r="4" spans="1:3" ht="14.4">
      <c r="A4" s="6" t="s">
        <v>6</v>
      </c>
      <c r="B4" s="6" t="s">
        <v>7</v>
      </c>
      <c r="C4" s="6" t="s">
        <v>11</v>
      </c>
    </row>
    <row r="5" spans="1:3" ht="14.4">
      <c r="A5" s="7">
        <v>1</v>
      </c>
      <c r="B5" s="10" t="s">
        <v>12</v>
      </c>
      <c r="C5" s="11">
        <v>203480</v>
      </c>
    </row>
    <row r="6" spans="1:3" ht="14.4">
      <c r="A6" s="7">
        <v>2</v>
      </c>
      <c r="B6" s="10" t="s">
        <v>18</v>
      </c>
      <c r="C6" s="11">
        <v>310900</v>
      </c>
    </row>
    <row r="7" spans="1:3" ht="15.75" customHeight="1">
      <c r="A7" s="7">
        <v>3</v>
      </c>
      <c r="B7" s="10" t="s">
        <v>22</v>
      </c>
      <c r="C7" s="11">
        <v>366740</v>
      </c>
    </row>
    <row r="8" spans="1:3" ht="14.4">
      <c r="A8" s="7">
        <v>4</v>
      </c>
      <c r="B8" s="10" t="s">
        <v>27</v>
      </c>
      <c r="C8" s="11">
        <v>402360</v>
      </c>
    </row>
    <row r="9" spans="1:3" ht="14.4">
      <c r="A9" s="7">
        <v>5</v>
      </c>
      <c r="B9" s="10" t="s">
        <v>29</v>
      </c>
      <c r="C9" s="11">
        <v>241030</v>
      </c>
    </row>
    <row r="10" spans="1:3" ht="14.4">
      <c r="A10" s="7">
        <v>6</v>
      </c>
      <c r="B10" s="10" t="s">
        <v>34</v>
      </c>
      <c r="C10" s="11">
        <v>180330</v>
      </c>
    </row>
    <row r="11" spans="1:3" ht="14.4">
      <c r="A11" s="7">
        <v>7</v>
      </c>
      <c r="B11" s="10" t="s">
        <v>40</v>
      </c>
      <c r="C11" s="11">
        <v>524425</v>
      </c>
    </row>
    <row r="12" spans="1:3" ht="14.4">
      <c r="A12" s="13">
        <v>8</v>
      </c>
      <c r="B12" s="10" t="s">
        <v>45</v>
      </c>
      <c r="C12" s="11">
        <v>68605</v>
      </c>
    </row>
    <row r="13" spans="1:3" ht="14.4">
      <c r="A13" s="7">
        <v>9</v>
      </c>
      <c r="B13" s="10" t="s">
        <v>50</v>
      </c>
      <c r="C13" s="11">
        <v>69140</v>
      </c>
    </row>
    <row r="14" spans="1:3" ht="14.4">
      <c r="A14" s="7">
        <v>10</v>
      </c>
      <c r="B14" s="14" t="s">
        <v>55</v>
      </c>
      <c r="C14" s="15">
        <v>50765</v>
      </c>
    </row>
    <row r="15" spans="1:3" ht="14.4">
      <c r="A15" s="7">
        <v>11</v>
      </c>
      <c r="B15" s="14" t="s">
        <v>60</v>
      </c>
      <c r="C15" s="15">
        <v>99540</v>
      </c>
    </row>
    <row r="16" spans="1:3" ht="14.4">
      <c r="A16" s="7">
        <v>12</v>
      </c>
      <c r="B16" s="14" t="s">
        <v>65</v>
      </c>
      <c r="C16" s="15">
        <v>82625</v>
      </c>
    </row>
    <row r="17" spans="1:9" ht="14.4">
      <c r="A17" s="7">
        <v>13</v>
      </c>
      <c r="B17" s="14" t="s">
        <v>70</v>
      </c>
      <c r="C17" s="15">
        <v>70495</v>
      </c>
    </row>
    <row r="18" spans="1:9" ht="14.4">
      <c r="A18" s="7">
        <v>14</v>
      </c>
      <c r="B18" s="14" t="s">
        <v>75</v>
      </c>
      <c r="C18" s="15">
        <v>13880</v>
      </c>
    </row>
    <row r="19" spans="1:9" ht="14.4">
      <c r="A19" s="7">
        <v>15</v>
      </c>
      <c r="B19" s="14" t="s">
        <v>80</v>
      </c>
      <c r="C19" s="15">
        <v>54790</v>
      </c>
    </row>
    <row r="20" spans="1:9" ht="14.4">
      <c r="A20" s="7">
        <v>16</v>
      </c>
      <c r="B20" s="14" t="s">
        <v>81</v>
      </c>
      <c r="C20" s="15">
        <v>55415</v>
      </c>
    </row>
    <row r="21" spans="1:9" ht="15.75" customHeight="1">
      <c r="A21" s="7">
        <v>17</v>
      </c>
      <c r="B21" s="16" t="s">
        <v>86</v>
      </c>
      <c r="C21" s="15">
        <v>11225</v>
      </c>
    </row>
    <row r="22" spans="1:9" ht="15.75" customHeight="1">
      <c r="A22" s="72"/>
      <c r="B22" s="71"/>
      <c r="C22" s="71"/>
      <c r="I22" s="17"/>
    </row>
    <row r="23" spans="1:9" ht="15.75" customHeight="1">
      <c r="A23" s="78" t="s">
        <v>92</v>
      </c>
      <c r="B23" s="67"/>
      <c r="C23" s="68"/>
    </row>
    <row r="24" spans="1:9" ht="15.75" customHeight="1"/>
    <row r="25" spans="1:9" ht="15.75" customHeight="1">
      <c r="A25" s="6" t="s">
        <v>6</v>
      </c>
      <c r="B25" s="6" t="s">
        <v>7</v>
      </c>
      <c r="C25" s="6" t="s">
        <v>11</v>
      </c>
    </row>
    <row r="26" spans="1:9" ht="15.75" customHeight="1">
      <c r="A26" s="18">
        <v>1</v>
      </c>
      <c r="B26" s="10" t="str">
        <f>HYPERLINK("https://www.promusicals.com/index.php?product_id=1782&amp;route=product/product","Universal Audio Bock 167 Tube Condenser Microphone")</f>
        <v>Universal Audio Bock 167 Tube Condenser Microphone</v>
      </c>
      <c r="C26" s="19">
        <v>354460</v>
      </c>
    </row>
    <row r="27" spans="1:9" ht="15.75" customHeight="1">
      <c r="A27" s="18">
        <v>2</v>
      </c>
      <c r="B27" s="20" t="str">
        <f>HYPERLINK("https://www.promusicals.com/index.php?product_id=1610&amp;route=product/product","Universal Audio Bock 187 Large-diaphragm Condenser Microphone")</f>
        <v>Universal Audio Bock 187 Large-diaphragm Condenser Microphone</v>
      </c>
      <c r="C27" s="19">
        <v>147625</v>
      </c>
    </row>
    <row r="28" spans="1:9" ht="15.75" customHeight="1">
      <c r="A28" s="18">
        <v>3</v>
      </c>
      <c r="B28" s="10" t="str">
        <f>HYPERLINK("https://www.promusicals.com/index.php?route=product/search&amp;search=Universal%20Audio%20Bock%20251","Universal Audio Bock 251 Tube Condenser Mic")</f>
        <v>Universal Audio Bock 251 Tube Condenser Mic</v>
      </c>
      <c r="C28" s="19">
        <v>709045</v>
      </c>
    </row>
    <row r="29" spans="1:9" ht="15.75" customHeight="1">
      <c r="A29" s="18">
        <v>4</v>
      </c>
      <c r="B29" s="20" t="str">
        <f>HYPERLINK("https://www.promusicals.com/index.php?product_id=1770&amp;route=product/product","Universal Audio SC-1 Standard Condenser Microphone")</f>
        <v>Universal Audio SC-1 Standard Condenser Microphone</v>
      </c>
      <c r="C29" s="19">
        <v>61540</v>
      </c>
    </row>
    <row r="30" spans="1:9" ht="15.75" customHeight="1">
      <c r="A30" s="18">
        <v>5</v>
      </c>
      <c r="B30" s="10" t="str">
        <f>HYPERLINK("https://www.promusicals.com/index.php?product_id=1487&amp;route=product/product","Universal Audio SP-1 Standard Pencil Microphone (Pair)")</f>
        <v>Universal Audio SP-1 Standard Pencil Microphone (Pair)</v>
      </c>
      <c r="C30" s="19">
        <v>56965</v>
      </c>
    </row>
    <row r="31" spans="1:9" ht="15.75" customHeight="1">
      <c r="A31" s="18">
        <v>6</v>
      </c>
      <c r="B31" s="20" t="str">
        <f>HYPERLINK("https://www.promusicals.com/index.php?product_id=1563&amp;route=product/product","Universal Audio Sphere DLX modeling microphone")</f>
        <v>Universal Audio Sphere DLX modeling microphone</v>
      </c>
      <c r="C31" s="19">
        <v>177170</v>
      </c>
    </row>
    <row r="32" spans="1:9" ht="15.75" customHeight="1">
      <c r="A32" s="18">
        <v>7</v>
      </c>
      <c r="B32" s="81" t="str">
        <f>HYPERLINK("https://www.promusicals.com/index.php?product_id=1562&amp;route=product/product","Universal Audio Sphere LX modeling microphone")</f>
        <v>Universal Audio Sphere LX modeling microphone</v>
      </c>
      <c r="C32" s="55">
        <v>118075</v>
      </c>
    </row>
    <row r="33" spans="1:3" ht="15.75" customHeight="1">
      <c r="A33" s="18"/>
      <c r="B33" s="22"/>
      <c r="C33" s="21"/>
    </row>
    <row r="34" spans="1:3" ht="15.75" customHeight="1">
      <c r="A34" s="78" t="s">
        <v>108</v>
      </c>
      <c r="B34" s="67"/>
      <c r="C34" s="68"/>
    </row>
    <row r="35" spans="1:3" ht="15.75" customHeight="1"/>
    <row r="36" spans="1:3" ht="15.75" customHeight="1">
      <c r="A36" s="6" t="s">
        <v>6</v>
      </c>
      <c r="B36" s="6" t="s">
        <v>7</v>
      </c>
      <c r="C36" s="6" t="s">
        <v>11</v>
      </c>
    </row>
    <row r="37" spans="1:3" ht="15.75" customHeight="1">
      <c r="A37" s="18">
        <v>1</v>
      </c>
      <c r="B37" s="23" t="str">
        <f>HYPERLINK("https://www.promusicals.com/index.php?route=product/search&amp;search=Eikon%20C14","Eikon C14 - Condenser Studio Microphone")</f>
        <v>Eikon C14 - Condenser Studio Microphone</v>
      </c>
      <c r="C37" s="19">
        <v>15667</v>
      </c>
    </row>
    <row r="38" spans="1:3" ht="15.75" customHeight="1">
      <c r="A38" s="18">
        <v>2</v>
      </c>
      <c r="B38" s="24" t="str">
        <f>HYPERLINK("https://www.promusicals.com/index.php?product_id=878&amp;route=product/product","Eikon CM14USB - Condenser Studio Microphone with USB Interface")</f>
        <v>Eikon CM14USB - Condenser Studio Microphone with USB Interface</v>
      </c>
      <c r="C38" s="19">
        <v>11384</v>
      </c>
    </row>
    <row r="39" spans="1:3" ht="15.75" customHeight="1">
      <c r="A39" s="18">
        <v>3</v>
      </c>
      <c r="B39" s="54" t="str">
        <f>HYPERLINK("https://www.promusicals.com/index.php?product_id=902&amp;route=product/product","Eikon CM150 - Professional Condenser Microphone")</f>
        <v>Eikon CM150 - Professional Condenser Microphone</v>
      </c>
      <c r="C39" s="55">
        <v>3722</v>
      </c>
    </row>
    <row r="40" spans="1:3" ht="15.75" customHeight="1">
      <c r="A40" s="18">
        <v>4</v>
      </c>
      <c r="B40" s="56" t="str">
        <f>HYPERLINK("https://www.promusicals.com/index.php?product_id=903&amp;route=product/product","Eikon CM500 - Professional Condenser Microphone")</f>
        <v>Eikon CM500 - Professional Condenser Microphone</v>
      </c>
      <c r="C40" s="55">
        <v>7063</v>
      </c>
    </row>
    <row r="41" spans="1:3" ht="15.75" customHeight="1">
      <c r="A41" s="18">
        <v>5</v>
      </c>
      <c r="B41" s="56" t="str">
        <f>HYPERLINK("https://www.promusicals.com/index.php?product_id=905&amp;route=product/product","Eikon HCM08PRO - Professional Condenser Headset Microphone")</f>
        <v>Eikon HCM08PRO - Professional Condenser Headset Microphone</v>
      </c>
      <c r="C41" s="55">
        <v>8707</v>
      </c>
    </row>
    <row r="42" spans="1:3" ht="15.75" customHeight="1">
      <c r="A42" s="18">
        <v>6</v>
      </c>
      <c r="B42" s="56" t="str">
        <f>HYPERLINK("https://www.promusicals.com/index.php?product_id=904&amp;route=product/product","Eikon HCM14EK - Professional Condenser Headset Microphone")</f>
        <v>Eikon HCM14EK - Professional Condenser Headset Microphone</v>
      </c>
      <c r="C42" s="55">
        <v>17721</v>
      </c>
    </row>
    <row r="43" spans="1:3" ht="15.75" customHeight="1">
      <c r="A43" s="18">
        <v>7</v>
      </c>
      <c r="B43" s="56" t="str">
        <f>HYPERLINK("https://www.promusicals.com/index.php?product_id=907&amp;route=product/product","Eikon HCM23SE - Condenser Headset Microphone")</f>
        <v>Eikon HCM23SE - Condenser Headset Microphone</v>
      </c>
      <c r="C43" s="55">
        <v>2306</v>
      </c>
    </row>
    <row r="44" spans="1:3" ht="15.75" customHeight="1">
      <c r="A44" s="18">
        <v>8</v>
      </c>
      <c r="B44" s="56" t="str">
        <f>HYPERLINK("https://www.promusicals.com/index.php?product_id=906&amp;route=product/product","Eikon HCM25SE - Condenser Headset Microphone")</f>
        <v>Eikon HCM25SE - Condenser Headset Microphone</v>
      </c>
      <c r="C44" s="55">
        <v>974</v>
      </c>
    </row>
    <row r="45" spans="1:3" ht="15.75" customHeight="1">
      <c r="A45" s="18">
        <v>9</v>
      </c>
      <c r="B45" s="26" t="str">
        <f>HYPERLINK("https://www.promusicals.com/index.php?product_id=908&amp;route=product/product","Eikon LCH100SE - Condenser Lavalier Microphone")</f>
        <v>Eikon LCH100SE - Condenser Lavalier Microphone</v>
      </c>
      <c r="C45" s="21">
        <v>1115</v>
      </c>
    </row>
    <row r="46" spans="1:3" ht="15.75" customHeight="1">
      <c r="A46" s="18">
        <v>10</v>
      </c>
      <c r="B46" s="26" t="str">
        <f>HYPERLINK("https://www.promusicals.com/index.php?product_id=897&amp;route=product/product","Eikon MFC81 - Professional Shotgun Condenser Microphone")</f>
        <v>Eikon MFC81 - Professional Shotgun Condenser Microphone</v>
      </c>
      <c r="C46" s="21">
        <v>5261</v>
      </c>
    </row>
    <row r="47" spans="1:3" ht="15.75" customHeight="1">
      <c r="A47" s="18"/>
      <c r="B47" s="22"/>
      <c r="C47" s="21"/>
    </row>
    <row r="48" spans="1:3" ht="15.75" customHeight="1">
      <c r="A48" s="18"/>
      <c r="B48" s="22"/>
      <c r="C48" s="21"/>
    </row>
    <row r="49" spans="1:3" ht="15.75" customHeight="1">
      <c r="A49" s="18"/>
      <c r="B49" s="22"/>
      <c r="C49" s="21"/>
    </row>
    <row r="50" spans="1:3" ht="15.75" customHeight="1"/>
    <row r="51" spans="1:3" ht="15.75" customHeight="1">
      <c r="A51" s="77" t="s">
        <v>119</v>
      </c>
      <c r="B51" s="67"/>
      <c r="C51" s="68"/>
    </row>
    <row r="52" spans="1:3" ht="15.75" customHeight="1">
      <c r="A52" s="78" t="s">
        <v>92</v>
      </c>
      <c r="B52" s="67"/>
      <c r="C52" s="68"/>
    </row>
    <row r="53" spans="1:3" ht="15.75" customHeight="1"/>
    <row r="54" spans="1:3" ht="15.75" customHeight="1">
      <c r="A54" s="6" t="s">
        <v>6</v>
      </c>
      <c r="B54" s="6" t="s">
        <v>7</v>
      </c>
      <c r="C54" s="6" t="s">
        <v>11</v>
      </c>
    </row>
    <row r="55" spans="1:3" ht="15.75" customHeight="1">
      <c r="A55" s="18"/>
      <c r="B55" s="27"/>
      <c r="C55" s="21"/>
    </row>
    <row r="56" spans="1:3" ht="15.75" customHeight="1">
      <c r="A56" s="28">
        <v>1</v>
      </c>
      <c r="B56" s="57" t="s">
        <v>124</v>
      </c>
      <c r="C56" s="30">
        <v>42690</v>
      </c>
    </row>
    <row r="57" spans="1:3" ht="15.75" customHeight="1">
      <c r="A57" s="28">
        <v>2</v>
      </c>
      <c r="B57" s="57" t="s">
        <v>130</v>
      </c>
      <c r="C57" s="30">
        <v>18415</v>
      </c>
    </row>
    <row r="58" spans="1:3" ht="15.75" customHeight="1">
      <c r="A58" s="28">
        <v>3</v>
      </c>
      <c r="B58" s="57" t="s">
        <v>131</v>
      </c>
      <c r="C58" s="30">
        <v>44005</v>
      </c>
    </row>
    <row r="59" spans="1:3" ht="15.75" customHeight="1">
      <c r="A59" s="28">
        <v>4</v>
      </c>
      <c r="B59" s="57" t="s">
        <v>136</v>
      </c>
      <c r="C59" s="30">
        <v>28410</v>
      </c>
    </row>
    <row r="60" spans="1:3" ht="15.75" customHeight="1">
      <c r="A60" s="28">
        <v>5</v>
      </c>
      <c r="B60" s="57" t="s">
        <v>141</v>
      </c>
      <c r="C60" s="30">
        <v>21270</v>
      </c>
    </row>
    <row r="61" spans="1:3" ht="15.75" customHeight="1">
      <c r="A61" s="18"/>
      <c r="B61" s="27"/>
      <c r="C61" s="21"/>
    </row>
    <row r="62" spans="1:3" ht="15.75" customHeight="1"/>
    <row r="63" spans="1:3" ht="15.75" customHeight="1">
      <c r="A63" s="78" t="s">
        <v>108</v>
      </c>
      <c r="B63" s="67"/>
      <c r="C63" s="68"/>
    </row>
    <row r="64" spans="1:3" ht="15.75" customHeight="1"/>
    <row r="65" spans="1:3" ht="15.75" customHeight="1">
      <c r="A65" s="6" t="s">
        <v>6</v>
      </c>
      <c r="B65" s="6" t="s">
        <v>7</v>
      </c>
      <c r="C65" s="6" t="s">
        <v>11</v>
      </c>
    </row>
    <row r="66" spans="1:3" ht="15.75" customHeight="1">
      <c r="A66" s="31">
        <v>1</v>
      </c>
      <c r="B66" s="57" t="s">
        <v>146</v>
      </c>
      <c r="C66" s="58">
        <v>2438</v>
      </c>
    </row>
    <row r="67" spans="1:3" ht="15.75" customHeight="1">
      <c r="A67" s="31">
        <v>2</v>
      </c>
      <c r="B67" s="57" t="s">
        <v>150</v>
      </c>
      <c r="C67" s="58">
        <v>2051</v>
      </c>
    </row>
    <row r="68" spans="1:3" ht="15.75" customHeight="1">
      <c r="A68" s="31">
        <v>3</v>
      </c>
      <c r="B68" s="57" t="s">
        <v>157</v>
      </c>
      <c r="C68" s="58">
        <v>11917</v>
      </c>
    </row>
    <row r="69" spans="1:3" ht="15.75" customHeight="1">
      <c r="A69" s="31">
        <v>4</v>
      </c>
      <c r="B69" s="57" t="s">
        <v>159</v>
      </c>
      <c r="C69" s="58">
        <v>3678</v>
      </c>
    </row>
    <row r="70" spans="1:3" ht="15.75" customHeight="1">
      <c r="A70" s="31">
        <v>5</v>
      </c>
      <c r="B70" s="57" t="s">
        <v>164</v>
      </c>
      <c r="C70" s="58">
        <v>1668</v>
      </c>
    </row>
    <row r="71" spans="1:3" ht="15.75" customHeight="1">
      <c r="A71" s="31">
        <v>6</v>
      </c>
      <c r="B71" s="57" t="s">
        <v>168</v>
      </c>
      <c r="C71" s="58">
        <v>3392</v>
      </c>
    </row>
    <row r="72" spans="1:3" ht="15.75" customHeight="1">
      <c r="A72" s="31">
        <v>7</v>
      </c>
      <c r="B72" s="57" t="s">
        <v>172</v>
      </c>
      <c r="C72" s="58">
        <v>3313</v>
      </c>
    </row>
    <row r="73" spans="1:3" ht="15.75" customHeight="1">
      <c r="A73" s="31">
        <v>8</v>
      </c>
      <c r="B73" s="57" t="s">
        <v>175</v>
      </c>
      <c r="C73" s="58">
        <v>5930</v>
      </c>
    </row>
    <row r="74" spans="1:3" ht="15.75" customHeight="1">
      <c r="A74" s="31">
        <v>9</v>
      </c>
      <c r="B74" s="57" t="s">
        <v>178</v>
      </c>
      <c r="C74" s="58">
        <v>6162</v>
      </c>
    </row>
    <row r="75" spans="1:3" ht="15.75" customHeight="1">
      <c r="A75" s="31">
        <v>10</v>
      </c>
      <c r="B75" s="29" t="s">
        <v>184</v>
      </c>
      <c r="C75" s="30">
        <v>9143</v>
      </c>
    </row>
    <row r="76" spans="1:3" ht="15.75" customHeight="1">
      <c r="A76" s="31">
        <v>11</v>
      </c>
      <c r="B76" s="16" t="s">
        <v>187</v>
      </c>
      <c r="C76" s="32">
        <v>14935</v>
      </c>
    </row>
    <row r="77" spans="1:3" ht="15.75" customHeight="1">
      <c r="A77" s="31">
        <v>12</v>
      </c>
      <c r="B77" s="16" t="s">
        <v>191</v>
      </c>
      <c r="C77" s="32">
        <v>10660</v>
      </c>
    </row>
    <row r="78" spans="1:3" ht="15.75" customHeight="1">
      <c r="A78" s="31"/>
      <c r="B78" s="16"/>
      <c r="C78" s="32"/>
    </row>
    <row r="79" spans="1:3" ht="15.75" customHeight="1">
      <c r="A79" s="78" t="s">
        <v>194</v>
      </c>
      <c r="B79" s="67"/>
      <c r="C79" s="68"/>
    </row>
    <row r="80" spans="1:3" ht="15.75" customHeight="1"/>
    <row r="81" spans="1:3" ht="15.75" customHeight="1">
      <c r="A81" s="6" t="s">
        <v>6</v>
      </c>
      <c r="B81" s="6" t="s">
        <v>7</v>
      </c>
      <c r="C81" s="6" t="s">
        <v>11</v>
      </c>
    </row>
    <row r="82" spans="1:3" ht="15.75" customHeight="1">
      <c r="A82" s="28">
        <v>1</v>
      </c>
      <c r="B82" s="56" t="str">
        <f>HYPERLINK("https://www.promusicals.com/index.php?manufacturer_id=65&amp;product_id=263&amp;route=product/product","Audix OM2")</f>
        <v>Audix OM2</v>
      </c>
      <c r="C82" s="58">
        <v>8395</v>
      </c>
    </row>
    <row r="83" spans="1:3" ht="15.75" customHeight="1">
      <c r="A83" s="28">
        <v>2</v>
      </c>
      <c r="B83" s="54" t="str">
        <f>HYPERLINK("https://www.promusicals.com/audix?product_id=265","Audix OM7")</f>
        <v>Audix OM7</v>
      </c>
      <c r="C83" s="58">
        <v>19629</v>
      </c>
    </row>
    <row r="84" spans="1:3" ht="15.75" customHeight="1">
      <c r="A84" s="31"/>
      <c r="B84" s="16"/>
      <c r="C84" s="32"/>
    </row>
    <row r="85" spans="1:3" ht="15.75" customHeight="1">
      <c r="A85" s="31"/>
      <c r="B85" s="16"/>
      <c r="C85" s="32"/>
    </row>
    <row r="86" spans="1:3" ht="15.75" customHeight="1">
      <c r="A86" s="31"/>
      <c r="B86" s="16"/>
      <c r="C86" s="32"/>
    </row>
    <row r="87" spans="1:3" ht="15.75" customHeight="1">
      <c r="A87" s="31"/>
      <c r="B87" s="16"/>
      <c r="C87" s="32"/>
    </row>
    <row r="88" spans="1:3" ht="15.75" customHeight="1">
      <c r="A88" s="31"/>
      <c r="B88" s="16"/>
      <c r="C88" s="32"/>
    </row>
    <row r="89" spans="1:3" ht="15.75" customHeight="1">
      <c r="A89" s="31"/>
      <c r="B89" s="16"/>
      <c r="C89" s="32"/>
    </row>
    <row r="90" spans="1:3" ht="15.75" customHeight="1">
      <c r="A90" s="31"/>
      <c r="B90" s="16"/>
      <c r="C90" s="32"/>
    </row>
    <row r="91" spans="1:3" ht="15.75" customHeight="1">
      <c r="A91" s="31"/>
      <c r="B91" s="16"/>
      <c r="C91" s="32"/>
    </row>
    <row r="92" spans="1:3" ht="15.75" customHeight="1">
      <c r="A92" s="69" t="s">
        <v>198</v>
      </c>
      <c r="B92" s="67"/>
      <c r="C92" s="68"/>
    </row>
    <row r="93" spans="1:3" ht="15.75" customHeight="1">
      <c r="A93" s="74" t="s">
        <v>203</v>
      </c>
      <c r="B93" s="67"/>
      <c r="C93" s="68"/>
    </row>
    <row r="94" spans="1:3" ht="15.75" customHeight="1"/>
    <row r="95" spans="1:3" ht="15.75" customHeight="1">
      <c r="A95" s="6" t="s">
        <v>6</v>
      </c>
      <c r="B95" s="6" t="s">
        <v>7</v>
      </c>
      <c r="C95" s="6" t="s">
        <v>11</v>
      </c>
    </row>
    <row r="96" spans="1:3" ht="15.75" customHeight="1">
      <c r="A96" s="35">
        <v>1</v>
      </c>
      <c r="B96" s="56" t="str">
        <f>HYPERLINK("https://www.promusicals.com/index.php?manufacturer_id=59&amp;product_id=1565&amp;route=product/product","Focusrite Clarett + Octo Pre")</f>
        <v>Focusrite Clarett + Octo Pre</v>
      </c>
      <c r="C96" s="59">
        <v>115645</v>
      </c>
    </row>
    <row r="97" spans="1:3" ht="15.75" customHeight="1">
      <c r="A97" s="35">
        <v>2</v>
      </c>
      <c r="B97" s="56" t="str">
        <f>HYPERLINK("https://www.promusicals.com/index.php?manufacturer_id=59&amp;product_id=286&amp;route=product/product","Focusrite Clarett 2 Pre Thunderbolt")</f>
        <v>Focusrite Clarett 2 Pre Thunderbolt</v>
      </c>
      <c r="C97" s="59">
        <v>52433</v>
      </c>
    </row>
    <row r="98" spans="1:3" ht="15.75" customHeight="1">
      <c r="A98" s="35">
        <v>3</v>
      </c>
      <c r="B98" s="56" t="str">
        <f>HYPERLINK("https://www.promusicals.com/index.php?manufacturer_id=59&amp;product_id=290&amp;route=product/product","Focusrite Clarett 4 Pre USB")</f>
        <v>Focusrite Clarett 4 Pre USB</v>
      </c>
      <c r="C98" s="59">
        <v>73576</v>
      </c>
    </row>
    <row r="99" spans="1:3" ht="15.75" customHeight="1">
      <c r="A99" s="35">
        <v>4</v>
      </c>
      <c r="B99" s="56" t="str">
        <f>HYPERLINK("https://www.promusicals.com/index.php?manufacturer_id=59&amp;product_id=1308&amp;route=product/product","Focusrite Clarett+ 2 Pre")</f>
        <v>Focusrite Clarett+ 2 Pre</v>
      </c>
      <c r="C99" s="59">
        <v>66980</v>
      </c>
    </row>
    <row r="100" spans="1:3" ht="15.75" customHeight="1">
      <c r="A100" s="35">
        <v>5</v>
      </c>
      <c r="B100" s="56" t="str">
        <f>HYPERLINK("https://www.promusicals.com/index.php?manufacturer_id=59&amp;product_id=1309&amp;route=product/product","Focusrite Clarett+ 4Pre")</f>
        <v>Focusrite Clarett+ 4Pre</v>
      </c>
      <c r="C100" s="59">
        <v>93915</v>
      </c>
    </row>
    <row r="101" spans="1:3" ht="15.75" customHeight="1">
      <c r="A101" s="35">
        <v>6</v>
      </c>
      <c r="B101" s="54" t="str">
        <f>HYPERLINK("https://www.promusicals.com/index.php?manufacturer_id=59&amp;product_id=1310&amp;route=product/product","Focusrite Clarett+ 8Pre")</f>
        <v>Focusrite Clarett+ 8Pre</v>
      </c>
      <c r="C101" s="59">
        <v>135130</v>
      </c>
    </row>
    <row r="102" spans="1:3" ht="15.75" customHeight="1">
      <c r="A102" s="35">
        <v>7</v>
      </c>
      <c r="B102" s="56" t="str">
        <f>HYPERLINK("https://www.promusicals.com/index.php?manufacturer_id=59&amp;product_id=882&amp;route=product/product","Focusrite iTrack One Pre")</f>
        <v>Focusrite iTrack One Pre</v>
      </c>
      <c r="C102" s="59">
        <v>13287</v>
      </c>
    </row>
    <row r="103" spans="1:3" ht="15.75" customHeight="1">
      <c r="A103" s="35">
        <v>8</v>
      </c>
      <c r="B103" s="60" t="s">
        <v>212</v>
      </c>
      <c r="C103" s="59">
        <v>199244</v>
      </c>
    </row>
    <row r="104" spans="1:3" ht="15.75" customHeight="1">
      <c r="A104" s="35">
        <v>9</v>
      </c>
      <c r="B104" s="60" t="s">
        <v>216</v>
      </c>
      <c r="C104" s="59">
        <v>114427</v>
      </c>
    </row>
    <row r="105" spans="1:3" ht="15.75" customHeight="1">
      <c r="A105" s="35">
        <v>10</v>
      </c>
      <c r="B105" s="60" t="s">
        <v>220</v>
      </c>
      <c r="C105" s="59">
        <v>114427</v>
      </c>
    </row>
    <row r="106" spans="1:3" ht="15.75" customHeight="1">
      <c r="A106" s="35">
        <v>11</v>
      </c>
      <c r="B106" s="16" t="s">
        <v>225</v>
      </c>
      <c r="C106" s="36">
        <v>199244</v>
      </c>
    </row>
    <row r="107" spans="1:3" ht="15.75" customHeight="1">
      <c r="A107" s="35">
        <v>12</v>
      </c>
      <c r="B107" s="16" t="s">
        <v>230</v>
      </c>
      <c r="C107" s="36">
        <v>39848</v>
      </c>
    </row>
    <row r="108" spans="1:3" ht="15.75" customHeight="1">
      <c r="A108" s="35">
        <v>13</v>
      </c>
      <c r="B108" s="16" t="s">
        <v>235</v>
      </c>
      <c r="C108" s="36">
        <v>249055</v>
      </c>
    </row>
    <row r="109" spans="1:3" ht="15.75" customHeight="1">
      <c r="A109" s="35">
        <v>14</v>
      </c>
      <c r="B109" s="16" t="s">
        <v>240</v>
      </c>
      <c r="C109" s="36">
        <v>298866</v>
      </c>
    </row>
    <row r="110" spans="1:3" ht="15.75" customHeight="1">
      <c r="A110" s="35">
        <v>15</v>
      </c>
      <c r="B110" s="16" t="s">
        <v>244</v>
      </c>
      <c r="C110" s="36">
        <v>99621</v>
      </c>
    </row>
    <row r="111" spans="1:3" ht="15.75" customHeight="1">
      <c r="A111" s="35">
        <v>16</v>
      </c>
      <c r="B111" s="26" t="str">
        <f>HYPERLINK("https://www.promusicals.com/index.php?manufacturer_id=59&amp;product_id=1949&amp;route=product/product","Focusrite Scarlett 16i16 4th Gen")</f>
        <v>Focusrite Scarlett 16i16 4th Gen</v>
      </c>
      <c r="C111" s="36">
        <v>49305</v>
      </c>
    </row>
    <row r="112" spans="1:3" ht="15.75" customHeight="1">
      <c r="A112" s="35">
        <v>17</v>
      </c>
      <c r="B112" s="26" t="str">
        <f>HYPERLINK("https://www.promusicals.com/index.php?manufacturer_id=59&amp;product_id=1950&amp;route=product/product","Focusrite Scarlett 18i16 4th Gen")</f>
        <v>Focusrite Scarlett 18i16 4th Gen</v>
      </c>
      <c r="C112" s="36">
        <v>66790</v>
      </c>
    </row>
    <row r="113" spans="1:3" ht="15.75" customHeight="1">
      <c r="A113" s="35">
        <v>18</v>
      </c>
      <c r="B113" s="26" t="str">
        <f>HYPERLINK("https://www.promusicals.com/index.php?manufacturer_id=59&amp;product_id=1951&amp;route=product/product","Focusrite Scarlett 18i20 4th Gen")</f>
        <v>Focusrite Scarlett 18i20 4th Gen</v>
      </c>
      <c r="C113" s="36">
        <v>93505</v>
      </c>
    </row>
    <row r="114" spans="1:3" ht="15.75" customHeight="1">
      <c r="A114" s="35">
        <v>19</v>
      </c>
      <c r="B114" s="26" t="str">
        <f>HYPERLINK("https://www.promusicals.com/index.php?manufacturer_id=59&amp;product_id=1691&amp;route=product/product","Focusrite Scarlett Solo (4th Gen)")</f>
        <v>Focusrite Scarlett Solo (4th Gen)</v>
      </c>
      <c r="C114" s="36">
        <v>19915</v>
      </c>
    </row>
    <row r="115" spans="1:3" ht="15.75" customHeight="1">
      <c r="A115" s="35">
        <v>20</v>
      </c>
      <c r="B115" s="25" t="str">
        <f>HYPERLINK("https://www.promusicals.com/index.php?manufacturer_id=59&amp;product_id=1472&amp;route=product/product","Focusrite Vocaster One")</f>
        <v>Focusrite Vocaster One</v>
      </c>
      <c r="C115" s="36">
        <v>19205</v>
      </c>
    </row>
    <row r="116" spans="1:3" ht="15.75" customHeight="1">
      <c r="A116" s="35">
        <v>21</v>
      </c>
      <c r="B116" s="26" t="str">
        <f>HYPERLINK("https://www.promusicals.com/index.php?manufacturer_id=59&amp;product_id=1474&amp;route=product/product","Focusrite Vocaster One Studio")</f>
        <v>Focusrite Vocaster One Studio</v>
      </c>
      <c r="C116" s="36">
        <v>32085</v>
      </c>
    </row>
    <row r="117" spans="1:3" ht="15.75" customHeight="1">
      <c r="A117" s="35">
        <v>22</v>
      </c>
      <c r="B117" s="26" t="str">
        <f>HYPERLINK("https://www.promusicals.com/index.php?manufacturer_id=59&amp;product_id=1473&amp;route=product/product","Focusrite Vocaster Two")</f>
        <v>Focusrite Vocaster Two</v>
      </c>
      <c r="C117" s="36">
        <v>32085</v>
      </c>
    </row>
    <row r="118" spans="1:3" ht="15.75" customHeight="1">
      <c r="A118" s="35">
        <v>23</v>
      </c>
      <c r="B118" s="26" t="str">
        <f>HYPERLINK("https://www.promusicals.com/index.php?manufacturer_id=59&amp;product_id=1476&amp;route=product/product","Focusrite Vocaster Two Studio")</f>
        <v>Focusrite Vocaster Two Studio</v>
      </c>
      <c r="C118" s="36">
        <v>51525</v>
      </c>
    </row>
    <row r="119" spans="1:3" ht="15.75" customHeight="1">
      <c r="A119" s="35">
        <v>24</v>
      </c>
      <c r="B119" s="26" t="str">
        <f>HYPERLINK("https://www.promusicals.com/index.php?manufacturer_id=59&amp;product_id=1693&amp;route=product/product","Focusrite Scarlett 2i2 (4Th Gen)")</f>
        <v>Focusrite Scarlett 2i2 (4Th Gen)</v>
      </c>
      <c r="C119" s="36">
        <v>27930</v>
      </c>
    </row>
    <row r="120" spans="1:3" ht="15.75" customHeight="1">
      <c r="A120" s="35">
        <v>25</v>
      </c>
      <c r="B120" s="26" t="str">
        <f>HYPERLINK("https://www.promusicals.com/index.php?manufacturer_id=59&amp;product_id=1695&amp;route=product/product","Focusrite Scarlett 4i4 (4Th Gen)")</f>
        <v>Focusrite Scarlett 4i4 (4Th Gen)</v>
      </c>
      <c r="C120" s="36">
        <v>38615</v>
      </c>
    </row>
    <row r="121" spans="1:3" ht="15.75" customHeight="1">
      <c r="A121" s="35">
        <v>28</v>
      </c>
      <c r="B121" s="26" t="str">
        <f>HYPERLINK("https://www.promusicals.com/index.php?manufacturer_id=59&amp;product_id=521&amp;route=product/product","Focusrite Scarlett 4i4 (3rd Gen)")</f>
        <v>Focusrite Scarlett 4i4 (3rd Gen)</v>
      </c>
      <c r="C121" s="36">
        <v>32596</v>
      </c>
    </row>
    <row r="122" spans="1:3" ht="15.75" customHeight="1">
      <c r="A122" s="37">
        <v>29</v>
      </c>
      <c r="B122" s="38" t="str">
        <f>HYPERLINK("https://www.promusicals.com/index.php?manufacturer_id=59&amp;product_id=668&amp;route=product/product","Focusrite Scarlett Octo Pre")</f>
        <v>Focusrite Scarlett Octo Pre</v>
      </c>
      <c r="C122" s="39">
        <v>71590</v>
      </c>
    </row>
    <row r="123" spans="1:3" ht="15.75" customHeight="1">
      <c r="A123" s="35">
        <v>30</v>
      </c>
      <c r="B123" s="26" t="str">
        <f>HYPERLINK("https://www.promusicals.com/index.php?manufacturer_id=59&amp;product_id=522&amp;route=product/product","Focusrite Scarlett 8i6 (3rd Gen)")</f>
        <v>Focusrite Scarlett 8i6 (3rd Gen)</v>
      </c>
      <c r="C123" s="36">
        <v>37611</v>
      </c>
    </row>
    <row r="124" spans="1:3" ht="15.75" customHeight="1">
      <c r="A124" s="35">
        <v>31</v>
      </c>
      <c r="B124" s="26" t="str">
        <f>HYPERLINK("https://www.promusicals.com/index.php?manufacturer_id=59&amp;page=2&amp;route=product/manufacturer/info","Focusrite iTrack Solo - Mac, PC &amp; iPad")</f>
        <v>Focusrite iTrack Solo - Mac, PC &amp; iPad</v>
      </c>
      <c r="C124" s="36">
        <v>16627</v>
      </c>
    </row>
    <row r="125" spans="1:3" ht="15.75" customHeight="1">
      <c r="A125" s="35"/>
      <c r="B125" s="40"/>
      <c r="C125" s="36"/>
    </row>
    <row r="126" spans="1:3" ht="15.75" customHeight="1">
      <c r="A126" s="35"/>
      <c r="B126" s="40"/>
      <c r="C126" s="36"/>
    </row>
    <row r="127" spans="1:3" ht="15.75" customHeight="1">
      <c r="A127" s="75"/>
      <c r="B127" s="71"/>
      <c r="C127" s="71"/>
    </row>
    <row r="128" spans="1:3" ht="15.75" customHeight="1">
      <c r="A128" s="76" t="s">
        <v>92</v>
      </c>
      <c r="B128" s="67"/>
      <c r="C128" s="68"/>
    </row>
    <row r="129" spans="1:3" ht="15.75" customHeight="1">
      <c r="A129" s="35"/>
      <c r="B129" s="40"/>
      <c r="C129" s="36"/>
    </row>
    <row r="130" spans="1:3" ht="15.75" customHeight="1">
      <c r="A130" s="6" t="s">
        <v>6</v>
      </c>
      <c r="B130" s="6" t="s">
        <v>7</v>
      </c>
      <c r="C130" s="6" t="s">
        <v>11</v>
      </c>
    </row>
    <row r="131" spans="1:3" ht="15.75" customHeight="1">
      <c r="A131" s="35">
        <v>1</v>
      </c>
      <c r="B131" s="56" t="str">
        <f>HYPERLINK("https://www.promusicals.com/index.php?product_id=999&amp;route=product/product","Universal Audio Apollo Solo - Thunderbolt 3 Audio Interface (for Mac &amp; Windows) [Heritage Edition]")</f>
        <v>Universal Audio Apollo Solo - Thunderbolt 3 Audio Interface (for Mac &amp; Windows) [Heritage Edition]</v>
      </c>
      <c r="C131" s="59">
        <v>77945</v>
      </c>
    </row>
    <row r="132" spans="1:3" ht="15.75" customHeight="1">
      <c r="A132" s="35">
        <v>2</v>
      </c>
      <c r="B132" s="56" t="str">
        <f>HYPERLINK("https://www.promusicals.com/index.php?product_id=2233&amp;route=product/product","Universal Audio Apollo Solo - USB [Heritage Edition]")</f>
        <v>Universal Audio Apollo Solo - USB [Heritage Edition]</v>
      </c>
      <c r="C132" s="59">
        <v>77945</v>
      </c>
    </row>
    <row r="133" spans="1:3" ht="15.75" customHeight="1">
      <c r="A133" s="35">
        <v>3</v>
      </c>
      <c r="B133" s="56" t="str">
        <f>HYPERLINK("https://www.promusicals.com/index.php?product_id=1001&amp;route=product/product","Universal Audio Apollo Twin Duo MK2 [Heritage Edition]")</f>
        <v>Universal Audio Apollo Twin Duo MK2 [Heritage Edition]</v>
      </c>
      <c r="C133" s="59">
        <v>105570</v>
      </c>
    </row>
    <row r="134" spans="1:3" ht="15.75" customHeight="1">
      <c r="A134" s="35">
        <v>4</v>
      </c>
      <c r="B134" s="56" t="str">
        <f>HYPERLINK("https://www.promusicals.com/index.php?product_id=1002&amp;route=product/product","Universal Audio Apollo Twin USB [Heritage Edition]")</f>
        <v>Universal Audio Apollo Twin USB [Heritage Edition]</v>
      </c>
      <c r="C134" s="59">
        <v>112725</v>
      </c>
    </row>
    <row r="135" spans="1:3" ht="15.75" customHeight="1">
      <c r="A135" s="35">
        <v>5</v>
      </c>
      <c r="B135" s="56" t="str">
        <f>HYPERLINK("https://www.promusicals.com/index.php?product_id=1688&amp;route=product/product","Universal Audio Apollo Twin X USB Duo [Heritage Edition]")</f>
        <v>Universal Audio Apollo Twin X USB Duo [Heritage Edition]</v>
      </c>
      <c r="C135" s="59">
        <v>125260</v>
      </c>
    </row>
    <row r="136" spans="1:3" ht="15.75" customHeight="1">
      <c r="A136" s="35">
        <v>6</v>
      </c>
      <c r="B136" s="56" t="str">
        <f>HYPERLINK("https://www.promusicals.com/index.php?product_id=1966&amp;route=product/product","Universal Audio Apollo Twin X DUO | Gen 2 (Essentials+ Edition)")</f>
        <v>Universal Audio Apollo Twin X DUO | Gen 2 (Essentials+ Edition)</v>
      </c>
      <c r="C136" s="59">
        <v>150340</v>
      </c>
    </row>
    <row r="137" spans="1:3" ht="15.75" customHeight="1">
      <c r="A137" s="35">
        <v>7</v>
      </c>
      <c r="B137" s="56" t="str">
        <f>HYPERLINK("https://www.promusicals.com/index.php?product_id=1967&amp;route=product/product","Universal Audio Apollo Twin X DUO | Gen 2 (Studio+ Edition)")</f>
        <v>Universal Audio Apollo Twin X DUO | Gen 2 (Studio+ Edition)</v>
      </c>
      <c r="C137" s="59">
        <v>304260</v>
      </c>
    </row>
    <row r="138" spans="1:3" ht="15.75" customHeight="1">
      <c r="A138" s="35">
        <v>8</v>
      </c>
      <c r="B138" s="56" t="str">
        <f>HYPERLINK("https://www.promusicals.com/index.php?product_id=1968&amp;route=product/product","Universal Audio Apollo Twin X QUAD | Gen 2 (Essentials+ Edition)")</f>
        <v>Universal Audio Apollo Twin X QUAD | Gen 2 (Essentials+ Edition)</v>
      </c>
      <c r="C138" s="59">
        <v>187955</v>
      </c>
    </row>
    <row r="139" spans="1:3" ht="15.75" customHeight="1">
      <c r="A139" s="35">
        <v>9</v>
      </c>
      <c r="B139" s="26" t="str">
        <f>HYPERLINK("https://www.promusicals.com/index.php?product_id=1969&amp;route=product/product","Universal Audio Apollo Twin X QUAD | Gen 2 (Studio+ Edition)")</f>
        <v>Universal Audio Apollo Twin X QUAD | Gen 2 (Studio+ Edition)</v>
      </c>
      <c r="C139" s="36">
        <v>235175</v>
      </c>
    </row>
    <row r="140" spans="1:3" ht="15.75" customHeight="1">
      <c r="A140" s="35">
        <v>10</v>
      </c>
      <c r="B140" s="26" t="str">
        <f>HYPERLINK("https://www.promusicals.com/index.php?product_id=1964&amp;route=product/product","Universal Audio Apollo x16 | Gen 2 (Essentials+ Edition)")</f>
        <v>Universal Audio Apollo x16 | Gen 2 (Essentials+ Edition)</v>
      </c>
      <c r="C140" s="36">
        <v>442225</v>
      </c>
    </row>
    <row r="141" spans="1:3" ht="15.75" customHeight="1">
      <c r="A141" s="35">
        <v>11</v>
      </c>
      <c r="B141" s="26" t="str">
        <f>HYPERLINK("https://www.promusicals.com/index.php?product_id=1965&amp;route=product/product","Universal Audio Apollo x16 | Gen 2 (Ultimate+ Edition)")</f>
        <v>Universal Audio Apollo x16 | Gen 2 (Ultimate+ Edition)</v>
      </c>
      <c r="C141" s="36">
        <v>552810</v>
      </c>
    </row>
    <row r="142" spans="1:3" ht="15.75" customHeight="1">
      <c r="A142" s="35">
        <v>12</v>
      </c>
      <c r="B142" s="25" t="str">
        <f>HYPERLINK("https://www.promusicals.com/index.php?product_id=1929&amp;route=product/product","Universal Audio Apollo x16D [Essentials Edition]")</f>
        <v>Universal Audio Apollo x16D [Essentials Edition]</v>
      </c>
      <c r="C142" s="36">
        <v>427100</v>
      </c>
    </row>
    <row r="143" spans="1:3" ht="15.75" customHeight="1">
      <c r="A143" s="35">
        <v>13</v>
      </c>
      <c r="B143" s="26" t="str">
        <f>HYPERLINK("https://www.promusicals.com/index.php?product_id=1930&amp;route=product/product","Universal Audio Apollo x16D [Ultimate Edition]")</f>
        <v>Universal Audio Apollo x16D [Ultimate Edition]</v>
      </c>
      <c r="C143" s="36">
        <v>442225</v>
      </c>
    </row>
    <row r="144" spans="1:3" ht="15.75" customHeight="1">
      <c r="A144" s="35">
        <v>14</v>
      </c>
      <c r="B144" s="26" t="str">
        <f>HYPERLINK("https://www.promusicals.com/index.php?product_id=1956&amp;route=product/product","Universal Audio Apollo x4 | Gen 2 (Essentials+ Edition)")</f>
        <v>Universal Audio Apollo x4 | Gen 2 (Essentials+ Edition)</v>
      </c>
      <c r="C144" s="36">
        <v>308755</v>
      </c>
    </row>
    <row r="145" spans="1:3" ht="15.75" customHeight="1">
      <c r="A145" s="35">
        <v>15</v>
      </c>
      <c r="B145" s="25" t="str">
        <f>HYPERLINK("https://www.promusicals.com/index.php?product_id=1957&amp;route=product/product","Universal Audio Apollo x4 | Gen 2 (Studio+ Edition)")</f>
        <v>Universal Audio Apollo x4 | Gen 2 (Studio+ Edition)</v>
      </c>
      <c r="C145" s="36">
        <v>404615</v>
      </c>
    </row>
    <row r="146" spans="1:3" ht="15.75" customHeight="1">
      <c r="A146" s="35">
        <v>16</v>
      </c>
      <c r="B146" s="26" t="str">
        <f>HYPERLINK("https://www.promusicals.com/index.php?product_id=1958&amp;route=product/product","Universal Audio Apollo x6 | Gen 2 (Essentials+ Edition)")</f>
        <v>Universal Audio Apollo x6 | Gen 2 (Essentials+ Edition)</v>
      </c>
      <c r="C146" s="36">
        <v>276350</v>
      </c>
    </row>
    <row r="147" spans="1:3" ht="15.75" customHeight="1">
      <c r="A147" s="35">
        <v>17</v>
      </c>
      <c r="B147" s="26" t="str">
        <f>HYPERLINK("https://www.promusicals.com/index.php?product_id=1959&amp;route=product/product","Universal Audio Apollo x6 | Gen 2 (Studio+ Edition)")</f>
        <v>Universal Audio Apollo x6 | Gen 2 (Studio+ Edition)</v>
      </c>
      <c r="C147" s="36">
        <v>309525</v>
      </c>
    </row>
    <row r="148" spans="1:3" ht="15.75" customHeight="1">
      <c r="A148" s="35">
        <v>18</v>
      </c>
      <c r="B148" s="26" t="str">
        <f>HYPERLINK("https://www.promusicals.com/index.php?product_id=1960&amp;route=product/product","Universal Audio Apollo x8 | Gen 2 (Essentials+ Edition)")</f>
        <v>Universal Audio Apollo x8 | Gen 2 (Essentials+ Edition)</v>
      </c>
      <c r="C148" s="36">
        <v>320585</v>
      </c>
    </row>
    <row r="149" spans="1:3" ht="15.75" customHeight="1">
      <c r="A149" s="35">
        <v>19</v>
      </c>
      <c r="B149" s="26" t="str">
        <f>HYPERLINK("https://www.promusicals.com/index.php?product_id=1961&amp;route=product/product","Universal Audio Apollo x8 | Gen 2 (Studio+ Edition)")</f>
        <v>Universal Audio Apollo x8 | Gen 2 (Studio+ Edition)</v>
      </c>
      <c r="C149" s="36">
        <v>353760</v>
      </c>
    </row>
    <row r="150" spans="1:3" ht="15.75" customHeight="1">
      <c r="A150" s="35">
        <v>20</v>
      </c>
      <c r="B150" s="26" t="str">
        <f>HYPERLINK("https://www.promusicals.com/index.php?product_id=214&amp;route=product/product","Universal Audio Apollo x8P")</f>
        <v>Universal Audio Apollo x8P</v>
      </c>
      <c r="C150" s="36">
        <v>292700</v>
      </c>
    </row>
    <row r="151" spans="1:3" ht="15.75" customHeight="1">
      <c r="A151" s="35">
        <v>21</v>
      </c>
      <c r="B151" s="26" t="str">
        <f>HYPERLINK("https://www.promusicals.com/index.php?product_id=1962&amp;route=product/product","Universal Audio Apollo x8p | Gen 2 (Essentials+ Edition)")</f>
        <v>Universal Audio Apollo x8p | Gen 2 (Essentials+ Edition)</v>
      </c>
      <c r="C151" s="36">
        <v>386935</v>
      </c>
    </row>
    <row r="152" spans="1:3" ht="15.75" customHeight="1">
      <c r="A152" s="35">
        <v>22</v>
      </c>
      <c r="B152" s="26" t="str">
        <f>HYPERLINK("https://www.promusicals.com/index.php?product_id=1963&amp;route=product/product","Universal Audio Apollo x8p | Gen 2 (Studio+ Edition)")</f>
        <v>Universal Audio Apollo x8p | Gen 2 (Studio+ Edition)</v>
      </c>
      <c r="C152" s="36">
        <v>536415</v>
      </c>
    </row>
    <row r="153" spans="1:3" ht="15.75" customHeight="1">
      <c r="A153" s="35">
        <v>23</v>
      </c>
      <c r="B153" s="26" t="str">
        <f>HYPERLINK("https://www.promusicals.com/index.php?product_id=1349&amp;route=product/product","Universal Audio Volt 1 - USB Audio Interface")</f>
        <v>Universal Audio Volt 1 - USB Audio Interface</v>
      </c>
      <c r="C153" s="36">
        <v>19905</v>
      </c>
    </row>
    <row r="154" spans="1:3" ht="15.75" customHeight="1">
      <c r="A154" s="35">
        <v>24</v>
      </c>
      <c r="B154" s="25" t="str">
        <f>HYPERLINK("https://www.promusicals.com/index.php?product_id=1353&amp;route=product/product","Universal Audio Volt 176 - USB Audio Interface")</f>
        <v>Universal Audio Volt 176 - USB Audio Interface</v>
      </c>
      <c r="C154" s="36">
        <v>26580</v>
      </c>
    </row>
    <row r="155" spans="1:3" ht="15.75" customHeight="1">
      <c r="A155" s="35">
        <v>25</v>
      </c>
      <c r="B155" s="26" t="str">
        <f>HYPERLINK("https://www.promusicals.com/index.php?product_id=1350&amp;route=product/product","Universal Audio Volt 2 - USB Audio Interface")</f>
        <v>Universal Audio Volt 2 - USB Audio Interface</v>
      </c>
      <c r="C155" s="36">
        <v>26580</v>
      </c>
    </row>
    <row r="156" spans="1:3" ht="15.75" customHeight="1">
      <c r="A156" s="35">
        <v>26</v>
      </c>
      <c r="B156" s="26" t="str">
        <f>HYPERLINK("https://www.promusicals.com/index.php?product_id=1354&amp;route=product/product","Universal Audio Volt 276 - USB Audio Interface")</f>
        <v>Universal Audio Volt 276 - USB Audio Interface</v>
      </c>
      <c r="C156" s="36">
        <v>39940</v>
      </c>
    </row>
    <row r="157" spans="1:3" ht="15.75" customHeight="1">
      <c r="A157" s="41">
        <v>27</v>
      </c>
      <c r="B157" s="26" t="str">
        <f>HYPERLINK("https://www.promusicals.com/index.php?product_id=1356&amp;route=product/product","Universal Audio Volt 476 - USB Audio Interface")</f>
        <v>Universal Audio Volt 476 - USB Audio Interface</v>
      </c>
      <c r="C157" s="30">
        <v>49290</v>
      </c>
    </row>
    <row r="158" spans="1:3" ht="15.75" customHeight="1">
      <c r="A158" s="41"/>
      <c r="B158" s="40"/>
      <c r="C158" s="30"/>
    </row>
    <row r="159" spans="1:3" ht="15.75" customHeight="1">
      <c r="A159" s="66" t="s">
        <v>304</v>
      </c>
      <c r="B159" s="67"/>
      <c r="C159" s="68"/>
    </row>
    <row r="160" spans="1:3" ht="15.75" customHeight="1">
      <c r="A160" s="41"/>
      <c r="B160" s="40"/>
      <c r="C160" s="30"/>
    </row>
    <row r="161" spans="1:3" ht="15.75" customHeight="1">
      <c r="A161" s="6" t="s">
        <v>6</v>
      </c>
      <c r="B161" s="6" t="s">
        <v>7</v>
      </c>
      <c r="C161" s="6" t="s">
        <v>11</v>
      </c>
    </row>
    <row r="162" spans="1:3" ht="15.75" customHeight="1">
      <c r="A162" s="41">
        <v>1</v>
      </c>
      <c r="B162" s="60" t="s">
        <v>308</v>
      </c>
      <c r="C162" s="58">
        <v>13420</v>
      </c>
    </row>
    <row r="163" spans="1:3" ht="15.75" customHeight="1">
      <c r="A163" s="31"/>
      <c r="B163" s="31"/>
      <c r="C163" s="31"/>
    </row>
    <row r="164" spans="1:3" ht="15.75" customHeight="1"/>
    <row r="165" spans="1:3" ht="15.75" customHeight="1">
      <c r="A165" s="69" t="s">
        <v>312</v>
      </c>
      <c r="B165" s="67"/>
      <c r="C165" s="68"/>
    </row>
    <row r="166" spans="1:3" ht="15.75" customHeight="1">
      <c r="A166" s="66" t="s">
        <v>315</v>
      </c>
      <c r="B166" s="67"/>
      <c r="C166" s="68"/>
    </row>
    <row r="167" spans="1:3" ht="15.75" customHeight="1"/>
    <row r="168" spans="1:3" ht="15.75" customHeight="1">
      <c r="A168" s="6" t="s">
        <v>6</v>
      </c>
      <c r="B168" s="6" t="s">
        <v>7</v>
      </c>
      <c r="C168" s="6" t="s">
        <v>11</v>
      </c>
    </row>
    <row r="169" spans="1:3" ht="15.75" customHeight="1">
      <c r="A169" s="28">
        <v>1</v>
      </c>
      <c r="B169" s="56" t="str">
        <f>HYPERLINK("https://www.promusicals.com/index.php?manufacturer_id=138&amp;product_id=2369&amp;route=product/product","ADAM Audio D3V - Black (Pair)")</f>
        <v>ADAM Audio D3V - Black (Pair)</v>
      </c>
      <c r="C169" s="58">
        <v>45680</v>
      </c>
    </row>
    <row r="170" spans="1:3" ht="15.75" customHeight="1">
      <c r="A170" s="28">
        <v>2</v>
      </c>
      <c r="B170" s="56" t="str">
        <f>HYPERLINK("https://www.promusicals.com/index.php?manufacturer_id=138&amp;product_id=2367&amp;route=product/product","ADAM Audio D3V - White (Pair)")</f>
        <v>ADAM Audio D3V - White (Pair)</v>
      </c>
      <c r="C170" s="58">
        <v>45680</v>
      </c>
    </row>
    <row r="171" spans="1:3" ht="15.75" customHeight="1">
      <c r="A171" s="28">
        <v>3</v>
      </c>
      <c r="B171" s="54" t="str">
        <f>HYPERLINK("https://www.promusicals.com/index.php?manufacturer_id=138&amp;product_id=2328&amp;route=product/product","ADAM Audio T5V (Single)")</f>
        <v>ADAM Audio T5V (Single)</v>
      </c>
      <c r="C171" s="58">
        <v>30455</v>
      </c>
    </row>
    <row r="172" spans="1:3" ht="15.75" customHeight="1">
      <c r="A172" s="28">
        <v>4</v>
      </c>
      <c r="B172" s="56" t="str">
        <f>HYPERLINK("https://www.promusicals.com/index.php?manufacturer_id=138&amp;product_id=2329&amp;route=product/product","ADAM Audio T7V (Single)")</f>
        <v>ADAM Audio T7V (Single)</v>
      </c>
      <c r="C172" s="58">
        <v>41110</v>
      </c>
    </row>
    <row r="173" spans="1:3" ht="15.75" customHeight="1">
      <c r="A173" s="28">
        <v>5</v>
      </c>
      <c r="B173" s="56" t="str">
        <f>HYPERLINK("https://www.promusicals.com/index.php?manufacturer_id=138&amp;product_id=2330&amp;route=product/product","ADAM Audio T8V (Single)")</f>
        <v>ADAM Audio T8V (Single)</v>
      </c>
      <c r="C173" s="58">
        <v>50250</v>
      </c>
    </row>
    <row r="174" spans="1:3" ht="15.75" customHeight="1">
      <c r="A174" s="28">
        <v>6</v>
      </c>
      <c r="B174" s="56" t="str">
        <f>HYPERLINK("https://www.promusicals.com/index.php?manufacturer_id=138&amp;product_id=2331&amp;route=product/product","ADAM Audio T10S (Single)")</f>
        <v>ADAM Audio T10S (Single)</v>
      </c>
      <c r="C174" s="58">
        <v>63955</v>
      </c>
    </row>
    <row r="175" spans="1:3" ht="15.75" customHeight="1">
      <c r="A175" s="28">
        <v>7</v>
      </c>
      <c r="B175" s="56" t="str">
        <f>HYPERLINK("https://www.promusicals.com/index.php?manufacturer_id=138&amp;product_id=2333&amp;route=product/product","ADAM Audio A4V (Single)")</f>
        <v>ADAM Audio A4V (Single)</v>
      </c>
      <c r="C175" s="58">
        <v>76355</v>
      </c>
    </row>
    <row r="176" spans="1:3" ht="15.75" customHeight="1">
      <c r="A176" s="28">
        <v>8</v>
      </c>
      <c r="B176" s="56" t="str">
        <f>HYPERLINK("https://www.promusicals.com/index.php?manufacturer_id=138&amp;product_id=2361&amp;route=product/product","ADAM Audio A44H (Single)")</f>
        <v>ADAM Audio A44H (Single)</v>
      </c>
      <c r="C176" s="58">
        <v>107190</v>
      </c>
    </row>
    <row r="177" spans="1:3" ht="15.75" customHeight="1">
      <c r="A177" s="28">
        <v>9</v>
      </c>
      <c r="B177" s="26" t="str">
        <f>HYPERLINK("https://www.promusicals.com/index.php?manufacturer_id=138&amp;product_id=2332&amp;route=product/product","ADAM Audio A7V (Single)")</f>
        <v>ADAM Audio A7V (Single)</v>
      </c>
      <c r="C177" s="30">
        <v>124810</v>
      </c>
    </row>
    <row r="178" spans="1:3" ht="15.75" customHeight="1">
      <c r="A178" s="28">
        <v>10</v>
      </c>
      <c r="B178" s="26" t="str">
        <f>HYPERLINK("https://www.promusicals.com/index.php?manufacturer_id=138&amp;product_id=2335&amp;route=product/product","ADAM Audio A77H (Single)")</f>
        <v>ADAM Audio A77H (Single)</v>
      </c>
      <c r="C178" s="30">
        <v>205575</v>
      </c>
    </row>
    <row r="179" spans="1:3" ht="15.75" customHeight="1">
      <c r="A179" s="28">
        <v>11</v>
      </c>
      <c r="B179" s="26" t="str">
        <f>HYPERLINK("https://www.promusicals.com/index.php?manufacturer_id=138&amp;product_id=2334&amp;route=product/product","ADAM Audio A8H - A Side (Single)")</f>
        <v>ADAM Audio A8H - A Side (Single)</v>
      </c>
      <c r="C179" s="30">
        <v>234945</v>
      </c>
    </row>
    <row r="180" spans="1:3" ht="15.75" customHeight="1">
      <c r="A180" s="28">
        <v>12</v>
      </c>
      <c r="B180" s="26" t="str">
        <f>HYPERLINK("https://www.promusicals.com/index.php?manufacturer_id=138&amp;product_id=2370&amp;route=product/product","ADAM Audio A8H - B Side (Single)")</f>
        <v>ADAM Audio A8H - B Side (Single)</v>
      </c>
      <c r="C180" s="30">
        <v>234945</v>
      </c>
    </row>
    <row r="181" spans="1:3" ht="15.75" customHeight="1">
      <c r="A181" s="28">
        <v>13</v>
      </c>
      <c r="B181" s="26" t="str">
        <f>HYPERLINK("https://www.promusicals.com/index.php?manufacturer_id=138&amp;product_id=2338&amp;route=product/product","ADAM Audio S2V (Single)")</f>
        <v>ADAM Audio S2V (Single)</v>
      </c>
      <c r="C181" s="30">
        <v>179470</v>
      </c>
    </row>
    <row r="182" spans="1:3" ht="15.75" customHeight="1">
      <c r="A182" s="28">
        <v>14</v>
      </c>
      <c r="B182" s="26" t="str">
        <f>HYPERLINK("https://www.promusicals.com/index.php?manufacturer_id=138&amp;product_id=2337&amp;route=product/product","ADAM Audio S3V (Single)")</f>
        <v>ADAM Audio S3V (Single)</v>
      </c>
      <c r="C182" s="30">
        <v>382875</v>
      </c>
    </row>
    <row r="183" spans="1:3" ht="15.75" customHeight="1">
      <c r="A183" s="28">
        <v>15</v>
      </c>
      <c r="B183" s="26" t="str">
        <f>HYPERLINK("https://www.promusicals.com/index.php?manufacturer_id=138&amp;product_id=2341&amp;route=product/product","ADAM Audio S3H (Single)")</f>
        <v>ADAM Audio S3H (Single)</v>
      </c>
      <c r="C183" s="30">
        <v>442700</v>
      </c>
    </row>
    <row r="184" spans="1:3" ht="15.75" customHeight="1">
      <c r="A184" s="28">
        <v>16</v>
      </c>
      <c r="B184" s="26" t="str">
        <f>HYPERLINK("https://www.promusicals.com/index.php?manufacturer_id=138&amp;product_id=2339&amp;route=product/product","ADAM Audio S5V (Single)")</f>
        <v>ADAM Audio S5V (Single)</v>
      </c>
      <c r="C184" s="30">
        <v>1076840</v>
      </c>
    </row>
    <row r="185" spans="1:3" ht="15.75" customHeight="1">
      <c r="A185" s="28">
        <v>17</v>
      </c>
      <c r="B185" s="26" t="str">
        <f>HYPERLINK("https://www.promusicals.com/index.php?manufacturer_id=138&amp;product_id=2340&amp;route=product/product","ADAM Audio S5H (Single)")</f>
        <v>ADAM Audio S5H (Single)</v>
      </c>
      <c r="C185" s="30">
        <v>1256310</v>
      </c>
    </row>
    <row r="186" spans="1:3" ht="15.75" customHeight="1">
      <c r="A186" s="28">
        <v>18</v>
      </c>
      <c r="B186" s="26" t="str">
        <f>HYPERLINK("https://www.promusicals.com/index.php?manufacturer_id=138&amp;product_id=2362&amp;route=product/product","ADAM Audio Sub8 (Single)")</f>
        <v>ADAM Audio Sub8 (Single)</v>
      </c>
      <c r="C186" s="30">
        <v>139495</v>
      </c>
    </row>
    <row r="187" spans="1:3" ht="15.75" customHeight="1">
      <c r="A187" s="28">
        <v>19</v>
      </c>
      <c r="B187" s="26" t="str">
        <f>HYPERLINK("https://www.promusicals.com/index.php?manufacturer_id=138&amp;product_id=2336&amp;route=product/product","ADAM Audio Sub10 MK2 (Single)")</f>
        <v>ADAM Audio Sub10 MK2 (Single)</v>
      </c>
      <c r="C187" s="30">
        <v>234945</v>
      </c>
    </row>
    <row r="188" spans="1:3" ht="15.75" customHeight="1">
      <c r="A188" s="28">
        <v>20</v>
      </c>
      <c r="B188" s="26" t="str">
        <f>HYPERLINK("https://www.promusicals.com/index.php?manufacturer_id=138&amp;product_id=2363&amp;route=product/product","ADAM Audio Sub12 (Single)")</f>
        <v>ADAM Audio Sub12 (Single)</v>
      </c>
      <c r="C188" s="30">
        <v>293680</v>
      </c>
    </row>
    <row r="189" spans="1:3" ht="15.75" customHeight="1">
      <c r="A189" s="28">
        <v>21</v>
      </c>
      <c r="B189" s="26" t="str">
        <f>HYPERLINK("https://www.promusicals.com/index.php?manufacturer_id=138&amp;product_id=2364&amp;route=product/product","ADAM Audio Sub15 (Single)")</f>
        <v>ADAM Audio Sub15 (Single)</v>
      </c>
      <c r="C189" s="30">
        <v>469890</v>
      </c>
    </row>
    <row r="190" spans="1:3" ht="15.75" customHeight="1">
      <c r="A190" s="28">
        <v>22</v>
      </c>
      <c r="B190" s="26" t="str">
        <f>HYPERLINK("https://www.promusicals.com/index.php?manufacturer_id=138&amp;product_id=2365&amp;route=product/product","ADAM Audio Sub2100 (Single)")</f>
        <v>ADAM Audio Sub2100 (Single)</v>
      </c>
      <c r="C190" s="30">
        <v>925100</v>
      </c>
    </row>
    <row r="191" spans="1:3" ht="15.75" customHeight="1"/>
    <row r="192" spans="1:3" ht="15.75" customHeight="1"/>
    <row r="193" spans="1:3" ht="15.75" customHeight="1">
      <c r="A193" s="66" t="s">
        <v>342</v>
      </c>
      <c r="B193" s="67"/>
      <c r="C193" s="68"/>
    </row>
    <row r="194" spans="1:3" ht="15.75" customHeight="1"/>
    <row r="195" spans="1:3" ht="15.75" customHeight="1">
      <c r="A195" s="6" t="s">
        <v>6</v>
      </c>
      <c r="B195" s="6" t="s">
        <v>7</v>
      </c>
      <c r="C195" s="6" t="s">
        <v>11</v>
      </c>
    </row>
    <row r="196" spans="1:3" ht="15.75" customHeight="1">
      <c r="A196" s="31">
        <v>1</v>
      </c>
      <c r="B196" s="56" t="str">
        <f>HYPERLINK("https://www.promusicals.com/index.php?manufacturer_id=61&amp;product_id=1073&amp;route=product/product","Focal Alpha 50 Evo (each)")</f>
        <v>Focal Alpha 50 Evo (each)</v>
      </c>
      <c r="C196" s="58">
        <v>45285</v>
      </c>
    </row>
    <row r="197" spans="1:3" ht="15.75" customHeight="1">
      <c r="A197" s="31">
        <v>2</v>
      </c>
      <c r="B197" s="56" t="str">
        <f>HYPERLINK("https://www.promusicals.com/index.php?manufacturer_id=61&amp;product_id=1074&amp;route=product/product","Focal Alpha 65 Evo (each)")</f>
        <v>Focal Alpha 65 Evo (each)</v>
      </c>
      <c r="C197" s="58">
        <v>60430</v>
      </c>
    </row>
    <row r="198" spans="1:3" ht="15.75" customHeight="1">
      <c r="A198" s="31">
        <v>3</v>
      </c>
      <c r="B198" s="56" t="str">
        <f>HYPERLINK("https://www.promusicals.com/index.php?manufacturer_id=61&amp;product_id=1448&amp;route=product/product","Focal Alpha 80 Evo (each)")</f>
        <v>Focal Alpha 80 Evo (each)</v>
      </c>
      <c r="C198" s="58">
        <v>75575</v>
      </c>
    </row>
    <row r="199" spans="1:3" ht="15.75" customHeight="1">
      <c r="A199" s="31">
        <v>4</v>
      </c>
      <c r="B199" s="56" t="str">
        <f>HYPERLINK("https://www.promusicals.com/index.php?manufacturer_id=61&amp;product_id=1450&amp;route=product/product","Focal Alpha Twin Evo (each)")</f>
        <v>Focal Alpha Twin Evo (each)</v>
      </c>
      <c r="C199" s="58">
        <v>86116</v>
      </c>
    </row>
    <row r="200" spans="1:3" ht="15.75" customHeight="1">
      <c r="A200" s="31">
        <v>5</v>
      </c>
      <c r="B200" s="56" t="str">
        <f>HYPERLINK("https://www.promusicals.com/index.php?manufacturer_id=61&amp;product_id=246&amp;route=product/product","Focal Shape 40 (each)")</f>
        <v>Focal Shape 40 (each)</v>
      </c>
      <c r="C200" s="58">
        <v>65080</v>
      </c>
    </row>
    <row r="201" spans="1:3" ht="15.75" customHeight="1">
      <c r="A201" s="31">
        <v>6</v>
      </c>
      <c r="B201" s="56" t="str">
        <f>HYPERLINK("https://www.promusicals.com/index.php?manufacturer_id=61&amp;product_id=245&amp;route=product/product","Focal Shape 50 (each)")</f>
        <v>Focal Shape 50 (each)</v>
      </c>
      <c r="C201" s="58">
        <v>95685</v>
      </c>
    </row>
    <row r="202" spans="1:3" ht="15.75" customHeight="1">
      <c r="A202" s="31">
        <v>7</v>
      </c>
      <c r="B202" s="56" t="str">
        <f>HYPERLINK("https://www.promusicals.com/index.php?manufacturer_id=61&amp;product_id=244&amp;route=product/product","Focal Shape 65 (each)")</f>
        <v>Focal Shape 65 (each)</v>
      </c>
      <c r="C202" s="58">
        <v>123065</v>
      </c>
    </row>
    <row r="203" spans="1:3" ht="15.75" customHeight="1">
      <c r="A203" s="31">
        <v>8</v>
      </c>
      <c r="B203" s="56" t="str">
        <f>HYPERLINK("https://www.promusicals.com/index.php?manufacturer_id=61&amp;product_id=243&amp;route=product/product","Focal Shape Twin (each)")</f>
        <v>Focal Shape Twin (each)</v>
      </c>
      <c r="C203" s="58">
        <v>157290</v>
      </c>
    </row>
    <row r="204" spans="1:3" ht="15.75" customHeight="1">
      <c r="A204" s="31">
        <v>9</v>
      </c>
      <c r="B204" s="26" t="str">
        <f>HYPERLINK("https://www.promusicals.com/index.php?manufacturer_id=61&amp;product_id=242&amp;route=product/product","Focal Solo6 Be (each)")</f>
        <v>Focal Solo6 Be (each)</v>
      </c>
      <c r="C204" s="30">
        <v>165068</v>
      </c>
    </row>
    <row r="205" spans="1:3" ht="15.75" customHeight="1">
      <c r="A205" s="31">
        <v>10</v>
      </c>
      <c r="B205" s="26" t="str">
        <f>HYPERLINK("https://www.promusicals.com/index.php?manufacturer_id=61&amp;product_id=1555&amp;route=product/product","Focal SOLO6 ST6 (Each)")</f>
        <v>Focal SOLO6 ST6 (Each)</v>
      </c>
      <c r="C205" s="30">
        <v>200835</v>
      </c>
    </row>
    <row r="206" spans="1:3" ht="15.75" customHeight="1">
      <c r="A206" s="31">
        <v>11</v>
      </c>
      <c r="B206" s="26" t="str">
        <f>HYPERLINK("https://www.promusicals.com/index.php?manufacturer_id=61&amp;product_id=1557&amp;route=product/product","Focal SUB 12 ST6 (Each)")</f>
        <v>Focal SUB 12 ST6 (Each)</v>
      </c>
      <c r="C206" s="30">
        <v>401800</v>
      </c>
    </row>
    <row r="207" spans="1:3" ht="15.75" customHeight="1">
      <c r="A207" s="31">
        <v>12</v>
      </c>
      <c r="B207" s="26" t="str">
        <f>HYPERLINK("https://www.promusicals.com/index.php?manufacturer_id=61&amp;product_id=1449&amp;route=product/product","Focal Sub One (each)")</f>
        <v>Focal Sub One (each)</v>
      </c>
      <c r="C207" s="30">
        <v>151300</v>
      </c>
    </row>
    <row r="208" spans="1:3" ht="15.75" customHeight="1">
      <c r="A208" s="31">
        <v>13</v>
      </c>
      <c r="B208" s="26" t="str">
        <f>HYPERLINK("https://www.promusicals.com/index.php?manufacturer_id=61&amp;product_id=239&amp;route=product/product","Focal Sub6 BE ( each )")</f>
        <v>Focal Sub6 BE ( each )</v>
      </c>
      <c r="C208" s="30">
        <v>180873</v>
      </c>
    </row>
    <row r="209" spans="1:3" ht="15.75" customHeight="1">
      <c r="A209" s="31">
        <v>14</v>
      </c>
      <c r="B209" s="26" t="str">
        <f>HYPERLINK("https://www.promusicals.com/index.php?manufacturer_id=61&amp;product_id=304&amp;route=product/product","Focal Trio11 Be (each)")</f>
        <v>Focal Trio11 Be (each)</v>
      </c>
      <c r="C209" s="30">
        <v>562575</v>
      </c>
    </row>
    <row r="210" spans="1:3" ht="15.75" customHeight="1">
      <c r="A210" s="31">
        <v>15</v>
      </c>
      <c r="B210" s="26" t="str">
        <f>HYPERLINK("https://www.promusicals.com/index.php?manufacturer_id=61&amp;product_id=240&amp;route=product/product","Focal Trio6 Be (each)")</f>
        <v>Focal Trio6 Be (each)</v>
      </c>
      <c r="C210" s="30">
        <v>468790</v>
      </c>
    </row>
    <row r="211" spans="1:3" ht="15.75" customHeight="1">
      <c r="A211" s="31">
        <v>16</v>
      </c>
      <c r="B211" s="26" t="str">
        <f>HYPERLINK("https://www.promusicals.com/index.php?manufacturer_id=61&amp;product_id=1787&amp;route=product/product","Focal Trio6 ST6 (each)")</f>
        <v>Focal Trio6 ST6 (each)</v>
      </c>
      <c r="C211" s="30">
        <v>468790</v>
      </c>
    </row>
    <row r="212" spans="1:3" ht="15.75" customHeight="1">
      <c r="A212" s="31">
        <v>17</v>
      </c>
      <c r="B212" s="26" t="str">
        <f>HYPERLINK("https://www.promusicals.com/index.php?manufacturer_id=61&amp;product_id=241&amp;route=product/product","Focal Twin6 be (each)")</f>
        <v>Focal Twin6 be (each)</v>
      </c>
      <c r="C212" s="30">
        <v>308015</v>
      </c>
    </row>
    <row r="213" spans="1:3" ht="15.75" customHeight="1">
      <c r="A213" s="31">
        <v>18</v>
      </c>
      <c r="B213" s="26" t="str">
        <f>HYPERLINK("https://www.promusicals.com/index.php?manufacturer_id=61&amp;product_id=1556&amp;route=product/product","Focal Twin6 ST6 (Each)")</f>
        <v>Focal Twin6 ST6 (Each)</v>
      </c>
      <c r="C213" s="30">
        <v>308015</v>
      </c>
    </row>
    <row r="214" spans="1:3" ht="15.75" customHeight="1"/>
    <row r="215" spans="1:3" ht="15.75" customHeight="1"/>
    <row r="216" spans="1:3" ht="15.75" customHeight="1">
      <c r="A216" s="70"/>
      <c r="B216" s="71"/>
      <c r="C216" s="71"/>
    </row>
    <row r="217" spans="1:3" ht="15.75" customHeight="1">
      <c r="A217" s="66" t="s">
        <v>358</v>
      </c>
      <c r="B217" s="67"/>
      <c r="C217" s="68"/>
    </row>
    <row r="218" spans="1:3" ht="15.75" customHeight="1"/>
    <row r="219" spans="1:3" ht="15.75" customHeight="1">
      <c r="A219" s="6" t="s">
        <v>6</v>
      </c>
      <c r="B219" s="6" t="s">
        <v>7</v>
      </c>
      <c r="C219" s="6" t="s">
        <v>11</v>
      </c>
    </row>
    <row r="220" spans="1:3" ht="15.75" customHeight="1">
      <c r="A220" s="28">
        <v>1</v>
      </c>
      <c r="B220" s="56" t="str">
        <f>HYPERLINK("https://www.promusicals.com/index.php?manufacturer_id=100&amp;product_id=733&amp;route=product/product","Eikon EK5NF - 5” Near-field Studio Monitor (each)")</f>
        <v>Eikon EK5NF - 5” Near-field Studio Monitor (each)</v>
      </c>
      <c r="C220" s="58">
        <v>21883</v>
      </c>
    </row>
    <row r="221" spans="1:3" ht="15.75" customHeight="1">
      <c r="A221" s="28">
        <v>2</v>
      </c>
      <c r="B221" s="56" t="str">
        <f>HYPERLINK("https://www.promusicals.com/index.php?manufacturer_id=100&amp;product_id=734&amp;route=product/product","Eikon EK6NF - 6.5” Near-field Studio Monitor (each)")</f>
        <v>Eikon EK6NF - 6.5” Near-field Studio Monitor (each)</v>
      </c>
      <c r="C221" s="58">
        <v>25993</v>
      </c>
    </row>
    <row r="222" spans="1:3" ht="15.75" customHeight="1">
      <c r="A222" s="28">
        <v>3</v>
      </c>
      <c r="B222" s="56" t="str">
        <f>HYPERLINK("https://www.promusicals.com/index.php?manufacturer_id=100&amp;product_id=735&amp;route=product/product","Eikon EK8NF - 8” Near-field Studio Monitor (each)")</f>
        <v>Eikon EK8NF - 8” Near-field Studio Monitor (each)</v>
      </c>
      <c r="C222" s="58">
        <v>31508</v>
      </c>
    </row>
    <row r="223" spans="1:3" ht="15.75" customHeight="1">
      <c r="A223" s="28">
        <v>4</v>
      </c>
      <c r="B223" s="54" t="str">
        <f>HYPERLINK("https://www.promusicals.com/index.php?manufacturer_id=100&amp;product_id=736&amp;route=product/product","Eikon EK10SW - 10” 150 W Studio Subwoofer")</f>
        <v>Eikon EK10SW - 10” 150 W Studio Subwoofer</v>
      </c>
      <c r="C223" s="58">
        <v>44476</v>
      </c>
    </row>
    <row r="224" spans="1:3" ht="15.75" customHeight="1"/>
    <row r="225" spans="1:3" ht="15.75" customHeight="1"/>
    <row r="226" spans="1:3" ht="15.75" customHeight="1">
      <c r="A226" s="69" t="s">
        <v>364</v>
      </c>
      <c r="B226" s="67"/>
      <c r="C226" s="68"/>
    </row>
    <row r="227" spans="1:3" ht="15.75" customHeight="1">
      <c r="A227" s="66" t="s">
        <v>365</v>
      </c>
      <c r="B227" s="67"/>
      <c r="C227" s="68"/>
    </row>
    <row r="228" spans="1:3" ht="15.75" customHeight="1"/>
    <row r="229" spans="1:3" ht="15.75" customHeight="1">
      <c r="A229" s="6" t="s">
        <v>6</v>
      </c>
      <c r="B229" s="6" t="s">
        <v>7</v>
      </c>
      <c r="C229" s="6" t="s">
        <v>11</v>
      </c>
    </row>
    <row r="230" spans="1:3" ht="15.75" customHeight="1">
      <c r="A230" s="28">
        <v>1</v>
      </c>
      <c r="B230" s="56" t="str">
        <f>HYPERLINK("https://www.promusicals.com/index.php?manufacturer_id=70&amp;product_id=295&amp;route=product/product","Synergy B-MAN")</f>
        <v>Synergy B-MAN</v>
      </c>
      <c r="C230" s="58">
        <v>62980</v>
      </c>
    </row>
    <row r="231" spans="1:3" ht="15.75" customHeight="1">
      <c r="A231" s="28">
        <v>2</v>
      </c>
      <c r="B231" s="56" t="str">
        <f>HYPERLINK("https://www.promusicals.com/index.php?manufacturer_id=70&amp;product_id=807&amp;route=product/product","Synergy BOGNER ECSTASY PRE-AMP")</f>
        <v>Synergy BOGNER ECSTASY PRE-AMP</v>
      </c>
      <c r="C231" s="58">
        <v>62980</v>
      </c>
    </row>
    <row r="232" spans="1:3" ht="15.75" customHeight="1">
      <c r="A232" s="28">
        <v>3</v>
      </c>
      <c r="B232" s="54" t="str">
        <f>HYPERLINK("https://www.promusicals.com/index.php?manufacturer_id=70&amp;product_id=808&amp;route=product/product","Synergy BOGNER UBERSCHALL PRE-AMP")</f>
        <v>Synergy BOGNER UBERSCHALL PRE-AMP</v>
      </c>
      <c r="C232" s="58">
        <v>62980</v>
      </c>
    </row>
    <row r="233" spans="1:3" ht="15.75" customHeight="1">
      <c r="A233" s="28">
        <v>4</v>
      </c>
      <c r="B233" s="56" t="str">
        <f>HYPERLINK("https://www.promusicals.com/index.php?manufacturer_id=70&amp;product_id=299&amp;route=product/product","Synergy FRIEDMAN BE")</f>
        <v>Synergy FRIEDMAN BE</v>
      </c>
      <c r="C233" s="58">
        <v>62980</v>
      </c>
    </row>
    <row r="234" spans="1:3" ht="15.75" customHeight="1">
      <c r="A234" s="28">
        <v>5</v>
      </c>
      <c r="B234" s="54" t="str">
        <f>HYPERLINK("https://www.promusicals.com/index.php?manufacturer_id=70&amp;product_id=298&amp;route=product/product","Synergy FRIEDMAN HBE")</f>
        <v>Synergy FRIEDMAN HBE</v>
      </c>
      <c r="C234" s="58">
        <v>62980</v>
      </c>
    </row>
    <row r="235" spans="1:3" ht="15.75" customHeight="1">
      <c r="A235" s="28">
        <v>6</v>
      </c>
      <c r="B235" s="56" t="str">
        <f>HYPERLINK("https://www.promusicals.com/index.php?manufacturer_id=70&amp;product_id=2312&amp;route=product/product","Synergy Fryette Deliverance Preamp Module")</f>
        <v>Synergy Fryette Deliverance Preamp Module</v>
      </c>
      <c r="C235" s="58">
        <v>62980</v>
      </c>
    </row>
    <row r="236" spans="1:3" ht="15.75" customHeight="1">
      <c r="A236" s="28">
        <v>7</v>
      </c>
      <c r="B236" s="56" t="str">
        <f>HYPERLINK("https://www.promusicals.com/index.php?manufacturer_id=70&amp;product_id=2315&amp;route=product/product","Synergy Marshall JMP Preamp Module")</f>
        <v>Synergy Marshall JMP Preamp Module</v>
      </c>
      <c r="C236" s="58">
        <v>62980</v>
      </c>
    </row>
    <row r="237" spans="1:3" ht="15.75" customHeight="1">
      <c r="A237" s="28">
        <v>8</v>
      </c>
      <c r="B237" s="56" t="str">
        <f>HYPERLINK("https://www.promusicals.com/index.php?manufacturer_id=70&amp;product_id=2317&amp;route=product/product","Synergy Peavey 6505 Preamp Module")</f>
        <v>Synergy Peavey 6505 Preamp Module</v>
      </c>
      <c r="C237" s="58">
        <v>62980</v>
      </c>
    </row>
    <row r="238" spans="1:3" ht="15.75" customHeight="1">
      <c r="A238" s="28">
        <v>9</v>
      </c>
      <c r="B238" s="26" t="str">
        <f>HYPERLINK("https://www.promusicals.com/index.php?manufacturer_id=70&amp;product_id=297&amp;route=product/product","Synergy PLEXI")</f>
        <v>Synergy PLEXI</v>
      </c>
      <c r="C238" s="30">
        <v>62980</v>
      </c>
    </row>
    <row r="239" spans="1:3" ht="15.75" customHeight="1">
      <c r="A239" s="28">
        <v>10</v>
      </c>
      <c r="B239" s="26" t="str">
        <f>HYPERLINK("https://www.promusicals.com/index.php?manufacturer_id=70&amp;product_id=296&amp;route=product/product","Synergy SOLDANO SLO")</f>
        <v>Synergy SOLDANO SLO</v>
      </c>
      <c r="C239" s="30">
        <v>62980</v>
      </c>
    </row>
    <row r="240" spans="1:3" ht="15.75" customHeight="1">
      <c r="A240" s="28">
        <v>11</v>
      </c>
      <c r="B240" s="26" t="str">
        <f>HYPERLINK("https://www.promusicals.com/index.php?manufacturer_id=70&amp;product_id=292&amp;route=product/product","Synergy SYN-1")</f>
        <v>Synergy SYN-1</v>
      </c>
      <c r="C240" s="30">
        <v>101215</v>
      </c>
    </row>
    <row r="241" spans="1:3" ht="15.75" customHeight="1">
      <c r="A241" s="28">
        <v>12</v>
      </c>
      <c r="B241" s="26" t="str">
        <f>HYPERLINK("https://www.promusicals.com/index.php?manufacturer_id=70&amp;product_id=293&amp;route=product/product","Synergy SYN-2")</f>
        <v>Synergy SYN-2</v>
      </c>
      <c r="C241" s="30">
        <v>151825</v>
      </c>
    </row>
    <row r="242" spans="1:3" ht="15.75" customHeight="1">
      <c r="A242" s="28">
        <v>13</v>
      </c>
      <c r="B242" s="25" t="str">
        <f>HYPERLINK("https://www.promusicals.com/index.php?manufacturer_id=70&amp;product_id=2309&amp;route=product/product","Synergy SYN-20IR")</f>
        <v>Synergy SYN-20IR</v>
      </c>
      <c r="C242" s="30">
        <v>173190</v>
      </c>
    </row>
    <row r="243" spans="1:3" ht="15.75" customHeight="1">
      <c r="A243" s="28">
        <v>14</v>
      </c>
      <c r="B243" s="26" t="str">
        <f>HYPERLINK("https://www.promusicals.com/index.php?manufacturer_id=70&amp;product_id=2311&amp;route=product/product","Synergy SYN-20IR 1×12” Combo Amp")</f>
        <v>Synergy SYN-20IR 1×12” Combo Amp</v>
      </c>
      <c r="C243" s="30">
        <v>236170</v>
      </c>
    </row>
    <row r="244" spans="1:3" ht="15.75" customHeight="1">
      <c r="A244" s="28">
        <v>15</v>
      </c>
      <c r="B244" s="26" t="str">
        <f>HYPERLINK("https://www.promusicals.com/index.php?manufacturer_id=70&amp;product_id=2310&amp;route=product/product","Synergy SYN5050")</f>
        <v>Synergy SYN5050</v>
      </c>
      <c r="C244" s="30">
        <v>220425</v>
      </c>
    </row>
    <row r="245" spans="1:3" ht="15.75" customHeight="1">
      <c r="A245" s="28">
        <v>16</v>
      </c>
      <c r="B245" s="26" t="str">
        <f>HYPERLINK("https://www.promusicals.com/index.php?manufacturer_id=70&amp;product_id=2313&amp;route=product/product","Synergy TDLX Preamp Module")</f>
        <v>Synergy TDLX Preamp Module</v>
      </c>
      <c r="C245" s="30">
        <v>62980</v>
      </c>
    </row>
    <row r="246" spans="1:3" ht="15.75" customHeight="1">
      <c r="A246" s="28">
        <v>17</v>
      </c>
      <c r="B246" s="26" t="str">
        <f>HYPERLINK("https://www.promusicals.com/index.php?manufacturer_id=70&amp;product_id=2316&amp;route=product/product","Synergy Tone King Imperial MKII Preamp Module")</f>
        <v>Synergy Tone King Imperial MKII Preamp Module</v>
      </c>
      <c r="C246" s="30">
        <v>62980</v>
      </c>
    </row>
    <row r="247" spans="1:3" ht="15.75" customHeight="1">
      <c r="A247" s="28">
        <v>18</v>
      </c>
      <c r="B247" s="26" t="str">
        <f>HYPERLINK("https://www.promusicals.com/index.php?manufacturer_id=70&amp;product_id=2314&amp;route=product/product","Synergy VAI SIGNATURE Preamp Module")</f>
        <v>Synergy VAI SIGNATURE Preamp Module</v>
      </c>
      <c r="C247" s="30">
        <v>62980</v>
      </c>
    </row>
    <row r="248" spans="1:3" ht="15.75" customHeight="1">
      <c r="B248" s="40"/>
      <c r="C248" s="30"/>
    </row>
    <row r="249" spans="1:3" ht="15.75" customHeight="1"/>
    <row r="250" spans="1:3" ht="15.75" customHeight="1">
      <c r="A250" s="69" t="s">
        <v>388</v>
      </c>
      <c r="B250" s="67"/>
      <c r="C250" s="68"/>
    </row>
    <row r="251" spans="1:3" ht="15.75" customHeight="1"/>
    <row r="252" spans="1:3" ht="15.75" customHeight="1">
      <c r="A252" s="66" t="s">
        <v>390</v>
      </c>
      <c r="B252" s="67"/>
      <c r="C252" s="68"/>
    </row>
    <row r="253" spans="1:3" ht="15.75" customHeight="1"/>
    <row r="254" spans="1:3" ht="15.75" customHeight="1">
      <c r="A254" s="6" t="s">
        <v>6</v>
      </c>
      <c r="B254" s="6" t="s">
        <v>7</v>
      </c>
      <c r="C254" s="6" t="s">
        <v>11</v>
      </c>
    </row>
    <row r="255" spans="1:3" ht="15.75" customHeight="1">
      <c r="A255" s="28">
        <v>1</v>
      </c>
      <c r="B255" s="56" t="str">
        <f>HYPERLINK("https://www.promusicals.com/index.php?product_id=1607&amp;route=product/product","Two Notes ReVolt Guitar")</f>
        <v>Two Notes ReVolt Guitar</v>
      </c>
      <c r="C255" s="58">
        <v>41703</v>
      </c>
    </row>
    <row r="256" spans="1:3" ht="15.75" customHeight="1">
      <c r="A256" s="72"/>
      <c r="B256" s="71"/>
      <c r="C256" s="71"/>
    </row>
    <row r="257" spans="1:3" ht="15.75" customHeight="1">
      <c r="A257" s="73" t="s">
        <v>92</v>
      </c>
      <c r="B257" s="67"/>
      <c r="C257" s="68"/>
    </row>
    <row r="258" spans="1:3" ht="15.75" customHeight="1">
      <c r="A258" s="70"/>
      <c r="B258" s="71"/>
      <c r="C258" s="71"/>
    </row>
    <row r="259" spans="1:3" ht="15.75" customHeight="1">
      <c r="A259" s="6" t="s">
        <v>6</v>
      </c>
      <c r="B259" s="6" t="s">
        <v>7</v>
      </c>
      <c r="C259" s="6" t="s">
        <v>11</v>
      </c>
    </row>
    <row r="260" spans="1:3" ht="15.75" customHeight="1">
      <c r="A260" s="28">
        <v>1</v>
      </c>
      <c r="B260" s="56" t="str">
        <f>HYPERLINK("https://www.promusicals.com/index.php?product_id=1468&amp;route=product/product","Universal Audio UAFX Dream '65 Reverb Amplifier")</f>
        <v>Universal Audio UAFX Dream '65 Reverb Amplifier</v>
      </c>
      <c r="C260" s="58">
        <v>49425</v>
      </c>
    </row>
    <row r="261" spans="1:3" ht="15.75" customHeight="1">
      <c r="A261" s="43">
        <v>2</v>
      </c>
      <c r="B261" s="82" t="str">
        <f>HYPERLINK("https://www.promusicals.com/index.php?product_id=1469&amp;route=product/product","Universal Audio UAFX Ruby '63 Top Boost Amplifier")</f>
        <v>Universal Audio UAFX Ruby '63 Top Boost Amplifier</v>
      </c>
      <c r="C261" s="58">
        <v>49425</v>
      </c>
    </row>
    <row r="262" spans="1:3" ht="15.75" customHeight="1">
      <c r="A262" s="28">
        <v>3</v>
      </c>
      <c r="B262" s="56" t="str">
        <f>HYPERLINK("https://www.promusicals.com/index.php?product_id=1470&amp;route=product/product","Universal Audio UAFX Woodrow '55 Instrument Amplifier")</f>
        <v>Universal Audio UAFX Woodrow '55 Instrument Amplifier</v>
      </c>
      <c r="C262" s="58">
        <v>49425</v>
      </c>
    </row>
    <row r="263" spans="1:3" ht="15.75" customHeight="1">
      <c r="A263" s="28">
        <v>4</v>
      </c>
      <c r="B263" s="56" t="str">
        <f>HYPERLINK("https://www.promusicals.com/index.php?product_id=1771&amp;route=product/product","Universal Audio UAFX Lion 68 Super Lead Amp Pedal")</f>
        <v>Universal Audio UAFX Lion 68 Super Lead Amp Pedal</v>
      </c>
      <c r="C263" s="58">
        <v>49425</v>
      </c>
    </row>
    <row r="264" spans="1:3" ht="15.75" customHeight="1">
      <c r="A264" s="28">
        <v>5</v>
      </c>
      <c r="B264" s="56" t="str">
        <f>HYPERLINK("https://www.promusicals.com/index.php?product_id=1941&amp;route=product/product","Universal Audio UAFX ANTI 1992 High Gain Amp")</f>
        <v>Universal Audio UAFX ANTI 1992 High Gain Amp</v>
      </c>
      <c r="C264" s="58">
        <v>49425</v>
      </c>
    </row>
    <row r="265" spans="1:3" ht="15.75" customHeight="1">
      <c r="A265" s="28">
        <v>6</v>
      </c>
      <c r="B265" s="56" t="str">
        <f>HYPERLINK("https://www.promusicals.com/index.php?product_id=1942&amp;route=product/product","Universal Audio UAFX Enigmatic '82 Overdrive Special Amp")</f>
        <v>Universal Audio UAFX Enigmatic '82 Overdrive Special Amp</v>
      </c>
      <c r="C265" s="58">
        <v>49425</v>
      </c>
    </row>
    <row r="266" spans="1:3" ht="15.75" customHeight="1">
      <c r="A266" s="28">
        <v>7</v>
      </c>
      <c r="B266" s="56" t="str">
        <f>HYPERLINK("https://www.promusicals.com/index.php?product_id=1985&amp;route=product/product","Universal Audio UAFX Knuckles ‘92 Rev F Dual Rec Amplifier")</f>
        <v>Universal Audio UAFX Knuckles ‘92 Rev F Dual Rec Amplifier</v>
      </c>
      <c r="C266" s="58">
        <v>49425</v>
      </c>
    </row>
    <row r="267" spans="1:3" ht="15.75" customHeight="1">
      <c r="A267" s="44"/>
      <c r="B267" s="18"/>
      <c r="C267" s="30"/>
    </row>
    <row r="268" spans="1:3" ht="15.75" customHeight="1">
      <c r="A268" s="44"/>
      <c r="B268" s="18"/>
      <c r="C268" s="30"/>
    </row>
    <row r="269" spans="1:3" ht="15.75" customHeight="1">
      <c r="A269" s="44"/>
      <c r="B269" s="18"/>
      <c r="C269" s="30"/>
    </row>
    <row r="270" spans="1:3" ht="15.75" customHeight="1">
      <c r="A270" s="44"/>
      <c r="B270" s="18"/>
      <c r="C270" s="30"/>
    </row>
    <row r="271" spans="1:3" ht="15.75" customHeight="1">
      <c r="A271" s="44"/>
      <c r="B271" s="18"/>
      <c r="C271" s="30"/>
    </row>
    <row r="272" spans="1:3" ht="15.75" customHeight="1">
      <c r="A272" s="66" t="s">
        <v>407</v>
      </c>
      <c r="B272" s="67"/>
      <c r="C272" s="68"/>
    </row>
    <row r="273" spans="1:3" ht="15.75" customHeight="1">
      <c r="B273" s="18"/>
      <c r="C273" s="30"/>
    </row>
    <row r="274" spans="1:3" ht="15.75" customHeight="1">
      <c r="A274" s="6" t="s">
        <v>6</v>
      </c>
      <c r="B274" s="6" t="s">
        <v>7</v>
      </c>
      <c r="C274" s="6" t="s">
        <v>11</v>
      </c>
    </row>
    <row r="275" spans="1:3" ht="15.75" customHeight="1">
      <c r="A275" s="28">
        <v>1</v>
      </c>
      <c r="B275" s="56" t="str">
        <f>HYPERLINK("https://www.promusicals.com/index.php?product_id=2088&amp;route=product/product","Mooer A7 Ambience Reverb")</f>
        <v>Mooer A7 Ambience Reverb</v>
      </c>
      <c r="C275" s="58">
        <v>10074</v>
      </c>
    </row>
    <row r="276" spans="1:3" ht="15.75" customHeight="1">
      <c r="A276" s="28">
        <v>2</v>
      </c>
      <c r="B276" s="54" t="str">
        <f>HYPERLINK("https://www.promusicals.com/index.php?product_id=1646&amp;route=product/product","Mooer Acoustikar Acoustic Guitar Simulator")</f>
        <v>Mooer Acoustikar Acoustic Guitar Simulator</v>
      </c>
      <c r="C276" s="58">
        <v>5996</v>
      </c>
    </row>
    <row r="277" spans="1:3" ht="15.75" customHeight="1">
      <c r="A277" s="28">
        <v>3</v>
      </c>
      <c r="B277" s="56" t="str">
        <f>HYPERLINK("https://www.promusicals.com/index.php?product_id=2085&amp;route=product/product","Mooer Autuner")</f>
        <v>Mooer Autuner</v>
      </c>
      <c r="C277" s="58">
        <v>16827</v>
      </c>
    </row>
    <row r="278" spans="1:3" ht="15.75" customHeight="1">
      <c r="A278" s="28">
        <v>4</v>
      </c>
      <c r="B278" s="56" t="str">
        <f>HYPERLINK("https://www.promusicals.com/index.php?product_id=1668&amp;route=product/product","Mooer Baby Tuner Pedal")</f>
        <v>Mooer Baby Tuner Pedal</v>
      </c>
      <c r="C278" s="58">
        <v>5996</v>
      </c>
    </row>
    <row r="279" spans="1:3" ht="15.75" customHeight="1">
      <c r="A279" s="28">
        <v>5</v>
      </c>
      <c r="B279" s="56" t="str">
        <f>HYPERLINK("https://www.promusicals.com/index.php?product_id=564&amp;route=product/product","Mooer Black Secret")</f>
        <v>Mooer Black Secret</v>
      </c>
      <c r="C279" s="58">
        <v>4796</v>
      </c>
    </row>
    <row r="280" spans="1:3" ht="15.75" customHeight="1">
      <c r="A280" s="28">
        <v>6</v>
      </c>
      <c r="B280" s="56" t="str">
        <f>HYPERLINK("https://www.promusicals.com/index.php?product_id=350&amp;route=product/product","Mooer Black Truck")</f>
        <v>Mooer Black Truck</v>
      </c>
      <c r="C280" s="58">
        <v>27822</v>
      </c>
    </row>
    <row r="281" spans="1:3" ht="15.75" customHeight="1">
      <c r="A281" s="28">
        <v>7</v>
      </c>
      <c r="B281" s="54" t="str">
        <f>HYPERLINK("https://www.promusicals.com/index.php?product_id=566&amp;route=product/product","Mooer Blacknight")</f>
        <v>Mooer Blacknight</v>
      </c>
      <c r="C281" s="58">
        <v>9315</v>
      </c>
    </row>
    <row r="282" spans="1:3" ht="15.75" customHeight="1">
      <c r="A282" s="28">
        <v>8</v>
      </c>
      <c r="B282" s="56" t="str">
        <f>HYPERLINK("https://www.promusicals.com/index.php?product_id=2099&amp;route=product/product","Mooer Blues Crab Overdrive Pedal")</f>
        <v>Mooer Blues Crab Overdrive Pedal</v>
      </c>
      <c r="C282" s="58">
        <v>5276</v>
      </c>
    </row>
    <row r="283" spans="1:3" ht="15.75" customHeight="1">
      <c r="A283" s="28">
        <v>9</v>
      </c>
      <c r="B283" s="26" t="str">
        <f>HYPERLINK("https://www.promusicals.com/index.php?product_id=2100&amp;route=product/product","Mooer Blues Mood Overdrive Pedal")</f>
        <v>Mooer Blues Mood Overdrive Pedal</v>
      </c>
      <c r="C283" s="30">
        <v>5276</v>
      </c>
    </row>
    <row r="284" spans="1:3" ht="15.75" customHeight="1">
      <c r="A284" s="28">
        <v>10</v>
      </c>
      <c r="B284" s="26" t="str">
        <f>HYPERLINK("https://www.promusicals.com/index.php?product_id=549&amp;route=product/product","Mooer Brown Sound 3")</f>
        <v>Mooer Brown Sound 3</v>
      </c>
      <c r="C284" s="30">
        <v>9315</v>
      </c>
    </row>
    <row r="285" spans="1:3" ht="15.75" customHeight="1">
      <c r="A285" s="28">
        <v>11</v>
      </c>
      <c r="B285" s="26" t="str">
        <f>HYPERLINK("https://www.promusicals.com/index.php?product_id=1647&amp;route=product/product","Mooer CAB X2 Stereo Cabinet Simulation Pedal")</f>
        <v>Mooer CAB X2 Stereo Cabinet Simulation Pedal</v>
      </c>
      <c r="C285" s="30">
        <v>17989</v>
      </c>
    </row>
    <row r="286" spans="1:3" ht="15.75" customHeight="1">
      <c r="A286" s="28">
        <v>12</v>
      </c>
      <c r="B286" s="26" t="str">
        <f>HYPERLINK("https://www.promusicals.com/index.php?product_id=550&amp;route=product/product","Mooer Cali-Dual")</f>
        <v>Mooer Cali-Dual</v>
      </c>
      <c r="C286" s="30">
        <v>9315</v>
      </c>
    </row>
    <row r="287" spans="1:3" ht="15.75" customHeight="1">
      <c r="A287" s="28">
        <v>13</v>
      </c>
      <c r="B287" s="26" t="str">
        <f>HYPERLINK("https://www.promusicals.com/index.php?product_id=567&amp;route=product/product","Mooer CAli-MK3")</f>
        <v>Mooer CAli-MK3</v>
      </c>
      <c r="C287" s="30">
        <v>9315</v>
      </c>
    </row>
    <row r="288" spans="1:3" ht="15.75" customHeight="1">
      <c r="A288" s="28">
        <v>14</v>
      </c>
      <c r="B288" s="26" t="str">
        <f>HYPERLINK("https://www.promusicals.com/index.php?product_id=551&amp;route=product/product","Mooer Cali-MKIV")</f>
        <v>Mooer Cali-MKIV</v>
      </c>
      <c r="C288" s="30">
        <v>9315</v>
      </c>
    </row>
    <row r="289" spans="1:3" ht="15.75" customHeight="1">
      <c r="A289" s="28">
        <v>15</v>
      </c>
      <c r="B289" s="26" t="str">
        <f>HYPERLINK("https://www.promusicals.com/index.php?product_id=1466&amp;route=product/product","Mooer Cruncher")</f>
        <v>Mooer Cruncher</v>
      </c>
      <c r="C289" s="30">
        <v>5276</v>
      </c>
    </row>
    <row r="290" spans="1:3" ht="15.75" customHeight="1">
      <c r="A290" s="28">
        <v>16</v>
      </c>
      <c r="B290" s="26" t="str">
        <f>HYPERLINK("https://www.promusicals.com/index.php?product_id=552&amp;route=product/product","Mooer Custom 100")</f>
        <v>Mooer Custom 100</v>
      </c>
      <c r="C290" s="30">
        <v>9315</v>
      </c>
    </row>
    <row r="291" spans="1:3" ht="15.75" customHeight="1">
      <c r="A291" s="28">
        <v>17</v>
      </c>
      <c r="B291" s="26" t="str">
        <f>HYPERLINK("https://www.promusicals.com/index.php?product_id=2090&amp;route=product/product","Mooer D7 Digital Delay")</f>
        <v>Mooer D7 Digital Delay</v>
      </c>
      <c r="C291" s="30">
        <v>10074</v>
      </c>
    </row>
    <row r="292" spans="1:3" ht="15.75" customHeight="1">
      <c r="A292" s="28">
        <v>18</v>
      </c>
      <c r="B292" s="26" t="str">
        <f>HYPERLINK("https://www.promusicals.com/index.php?product_id=1286&amp;route=product/product","Mooer D7 X2 Delay")</f>
        <v>Mooer D7 X2 Delay</v>
      </c>
      <c r="C292" s="30">
        <v>15591</v>
      </c>
    </row>
    <row r="293" spans="1:3" ht="15.75" customHeight="1">
      <c r="A293" s="28">
        <v>19</v>
      </c>
      <c r="B293" s="26" t="str">
        <f>HYPERLINK("https://www.promusicals.com/index.php?product_id=548&amp;route=product/product","Mooer Daytripper Delay Reverb")</f>
        <v>Mooer Daytripper Delay Reverb</v>
      </c>
      <c r="C293" s="30">
        <v>9315</v>
      </c>
    </row>
    <row r="294" spans="1:3" ht="15.75" customHeight="1">
      <c r="A294" s="28">
        <v>20</v>
      </c>
      <c r="B294" s="26" t="str">
        <f>HYPERLINK("https://www.promusicals.com/index.php?product_id=2112&amp;route=product/product","Mooer E-lady Flanger Pedal")</f>
        <v>Mooer E-lady Flanger Pedal</v>
      </c>
      <c r="C294" s="30">
        <v>5996</v>
      </c>
    </row>
    <row r="295" spans="1:3" ht="15.75" customHeight="1">
      <c r="A295" s="28">
        <v>21</v>
      </c>
      <c r="B295" s="26" t="str">
        <f>HYPERLINK("https://www.promusicals.com/index.php?product_id=1648&amp;route=product/product","Mooer E7 Synth Polyphonic Guitar Synth")</f>
        <v>Mooer E7 Synth Polyphonic Guitar Synth</v>
      </c>
      <c r="C295" s="30">
        <v>10074</v>
      </c>
    </row>
    <row r="296" spans="1:3" ht="15.75" customHeight="1">
      <c r="A296" s="28">
        <v>22</v>
      </c>
      <c r="B296" s="26" t="str">
        <f>HYPERLINK("https://www.promusicals.com/index.php?product_id=570&amp;route=product/product","Mooer EchoVerb")</f>
        <v>Mooer EchoVerb</v>
      </c>
      <c r="C296" s="30">
        <v>6235</v>
      </c>
    </row>
    <row r="297" spans="1:3" ht="15.75" customHeight="1">
      <c r="A297" s="28">
        <v>23</v>
      </c>
      <c r="B297" s="26" t="str">
        <f>HYPERLINK("https://www.promusicals.com/index.php?product_id=1670&amp;route=product/product","Mooer Expline Expression Pedal")</f>
        <v>Mooer Expline Expression Pedal</v>
      </c>
      <c r="C297" s="30">
        <v>6210</v>
      </c>
    </row>
    <row r="298" spans="1:3" ht="15.75" customHeight="1">
      <c r="A298" s="28">
        <v>24</v>
      </c>
      <c r="B298" s="26" t="str">
        <f>HYPERLINK("https://www.promusicals.com/index.php?product_id=1649&amp;route=product/product","Mooer Free Step Wah &amp; Volume Pedal")</f>
        <v>Mooer Free Step Wah &amp; Volume Pedal</v>
      </c>
      <c r="C298" s="30">
        <v>10793</v>
      </c>
    </row>
    <row r="299" spans="1:3" ht="15.75" customHeight="1">
      <c r="A299" s="28">
        <v>25</v>
      </c>
      <c r="B299" s="25" t="str">
        <f>HYPERLINK("https://www.promusicals.com/index.php?product_id=1671&amp;route=product/product","Mooer Funky Monkey Digital Auto Wah Pedal")</f>
        <v>Mooer Funky Monkey Digital Auto Wah Pedal</v>
      </c>
      <c r="C299" s="30">
        <v>6717</v>
      </c>
    </row>
    <row r="300" spans="1:3" ht="15.75" customHeight="1">
      <c r="A300" s="28">
        <v>26</v>
      </c>
      <c r="B300" s="26" t="str">
        <f>HYPERLINK("https://www.promusicals.com/index.php?product_id=553&amp;route=product/product","Mooer Gas Station")</f>
        <v>Mooer Gas Station</v>
      </c>
      <c r="C300" s="30">
        <v>9315</v>
      </c>
    </row>
    <row r="301" spans="1:3" ht="15.75" customHeight="1">
      <c r="A301" s="28">
        <v>27</v>
      </c>
      <c r="B301" s="26" t="str">
        <f>HYPERLINK("https://www.promusicals.com/index.php?product_id=345&amp;route=product/product","Mooer GE100")</f>
        <v>Mooer GE100</v>
      </c>
      <c r="C301" s="30">
        <v>10074</v>
      </c>
    </row>
    <row r="302" spans="1:3" ht="15.75" customHeight="1">
      <c r="A302" s="28">
        <v>28</v>
      </c>
      <c r="B302" s="26" t="str">
        <f>HYPERLINK("https://www.promusicals.com/index.php?product_id=2416&amp;route=product/product","Mooer GE100 Pro")</f>
        <v>Mooer GE100 Pro</v>
      </c>
      <c r="C302" s="30">
        <v>13515</v>
      </c>
    </row>
    <row r="303" spans="1:3" ht="15.75" customHeight="1">
      <c r="A303" s="28">
        <v>29</v>
      </c>
      <c r="B303" s="26" t="str">
        <f>HYPERLINK("https://www.promusicals.com/index.php?product_id=1893&amp;route=product/product","Mooer GE1000")</f>
        <v>Mooer GE1000</v>
      </c>
      <c r="C303" s="30">
        <v>56624</v>
      </c>
    </row>
    <row r="304" spans="1:3" ht="15.75" customHeight="1">
      <c r="A304" s="28">
        <v>30</v>
      </c>
      <c r="B304" s="26" t="str">
        <f>HYPERLINK("https://www.promusicals.com/index.php?product_id=1892&amp;route=product/product","Mooer GE1000 LI")</f>
        <v>Mooer GE1000 LI</v>
      </c>
      <c r="C304" s="30">
        <v>64576</v>
      </c>
    </row>
    <row r="305" spans="1:3" ht="15.75" customHeight="1">
      <c r="A305" s="28">
        <v>31</v>
      </c>
      <c r="B305" s="26" t="str">
        <f>HYPERLINK("https://www.promusicals.com/index.php?product_id=663&amp;route=product/product","Mooer GE150")</f>
        <v>Mooer GE150</v>
      </c>
      <c r="C305" s="30">
        <v>16958</v>
      </c>
    </row>
    <row r="306" spans="1:3" ht="15.75" customHeight="1">
      <c r="A306" s="28">
        <v>32</v>
      </c>
      <c r="B306" s="26" t="str">
        <f>HYPERLINK("https://www.promusicals.com/index.php?product_id=2157&amp;route=product/product","Mooer GE150 MAX")</f>
        <v>Mooer GE150 MAX</v>
      </c>
      <c r="C306" s="30">
        <v>51115</v>
      </c>
    </row>
    <row r="307" spans="1:3" ht="15.75" customHeight="1">
      <c r="A307" s="28">
        <v>33</v>
      </c>
      <c r="B307" s="26" t="str">
        <f>HYPERLINK("https://www.promusicals.com/index.php?product_id=2158&amp;route=product/product","Mooer GE150 MAX Li")</f>
        <v>Mooer GE150 MAX Li</v>
      </c>
      <c r="C307" s="30">
        <v>58120</v>
      </c>
    </row>
    <row r="308" spans="1:3" ht="15.75" customHeight="1">
      <c r="A308" s="28">
        <v>34</v>
      </c>
      <c r="B308" s="26" t="str">
        <f>HYPERLINK("https://www.promusicals.com/index.php?product_id=2154&amp;route=product/product","Mooer GE150 Plus")</f>
        <v>Mooer GE150 Plus</v>
      </c>
      <c r="C308" s="30">
        <v>34780</v>
      </c>
    </row>
    <row r="309" spans="1:3" ht="15.75" customHeight="1">
      <c r="A309" s="28">
        <v>35</v>
      </c>
      <c r="B309" s="26" t="str">
        <f>HYPERLINK("https://www.promusicals.com/index.php?product_id=2155&amp;route=product/product","Mooer GE150 Plus Li")</f>
        <v>Mooer GE150 Plus Li</v>
      </c>
      <c r="C309" s="30">
        <v>37110</v>
      </c>
    </row>
    <row r="310" spans="1:3" ht="15.75" customHeight="1">
      <c r="A310" s="28">
        <v>36</v>
      </c>
      <c r="B310" s="26" t="str">
        <f>HYPERLINK("https://www.promusicals.com/index.php?product_id=2080&amp;route=product/product","Mooer GE150 Pro")</f>
        <v>Mooer GE150 Pro</v>
      </c>
      <c r="C310" s="30">
        <v>19411</v>
      </c>
    </row>
    <row r="311" spans="1:3" ht="15.75" customHeight="1">
      <c r="A311" s="28">
        <v>37</v>
      </c>
      <c r="B311" s="26" t="str">
        <f>HYPERLINK("https://www.promusicals.com/index.php?product_id=2081&amp;route=product/product","Mooer GE150 Pro Li")</f>
        <v>Mooer GE150 Pro Li</v>
      </c>
      <c r="C311" s="30">
        <v>21396</v>
      </c>
    </row>
    <row r="312" spans="1:3" ht="15.75" customHeight="1">
      <c r="A312" s="28">
        <v>38</v>
      </c>
      <c r="B312" s="26" t="str">
        <f>HYPERLINK("https://www.promusicals.com/index.php?product_id=346&amp;route=product/product","Mooer GE200")</f>
        <v>Mooer GE200</v>
      </c>
      <c r="C312" s="30">
        <v>32618</v>
      </c>
    </row>
    <row r="313" spans="1:3" ht="15.75" customHeight="1">
      <c r="A313" s="28">
        <v>39</v>
      </c>
      <c r="B313" s="26" t="str">
        <f>HYPERLINK("https://www.promusicals.com/index.php?product_id=2082&amp;route=product/product","Mooer GE200 Pro")</f>
        <v>Mooer GE200 Pro</v>
      </c>
      <c r="C313" s="30">
        <v>41102</v>
      </c>
    </row>
    <row r="314" spans="1:3" ht="15.75" customHeight="1">
      <c r="A314" s="28">
        <v>40</v>
      </c>
      <c r="B314" s="26" t="str">
        <f>HYPERLINK("https://www.promusicals.com/index.php?product_id=747&amp;route=product/product","Mooer GE250")</f>
        <v>Mooer GE250</v>
      </c>
      <c r="C314" s="30">
        <v>56366</v>
      </c>
    </row>
    <row r="315" spans="1:3" ht="15.75" customHeight="1">
      <c r="A315" s="28">
        <v>41</v>
      </c>
      <c r="B315" s="26" t="str">
        <f>HYPERLINK("https://www.promusicals.com/index.php?product_id=556&amp;route=product/product","Mooer GE300")</f>
        <v>Mooer GE300</v>
      </c>
      <c r="C315" s="30">
        <v>89944</v>
      </c>
    </row>
    <row r="316" spans="1:3" ht="15.75" customHeight="1">
      <c r="A316" s="28">
        <v>42</v>
      </c>
      <c r="B316" s="26" t="str">
        <f>HYPERLINK("https://www.promusicals.com/index.php?product_id=1445&amp;route=product/product","Mooer GE300 Lite")</f>
        <v>Mooer GE300 Lite</v>
      </c>
      <c r="C316" s="30">
        <v>60990</v>
      </c>
    </row>
    <row r="317" spans="1:3" ht="15.75" customHeight="1">
      <c r="A317" s="28">
        <v>43</v>
      </c>
      <c r="B317" s="26" t="str">
        <f>HYPERLINK("https://www.promusicals.com/index.php?product_id=1650&amp;route=product/product","Mooer Graphic G Guitar Equalizer Pedal")</f>
        <v>Mooer Graphic G Guitar Equalizer Pedal</v>
      </c>
      <c r="C317" s="30">
        <v>5996</v>
      </c>
    </row>
    <row r="318" spans="1:3" ht="15.75" customHeight="1">
      <c r="A318" s="28">
        <v>44</v>
      </c>
      <c r="B318" s="26" t="str">
        <f>HYPERLINK("https://www.promusicals.com/index.php?product_id=558&amp;route=product/product","Mooer Green Mile")</f>
        <v>Mooer Green Mile</v>
      </c>
      <c r="C318" s="30">
        <v>4796</v>
      </c>
    </row>
    <row r="319" spans="1:3" ht="15.75" customHeight="1">
      <c r="A319" s="28">
        <v>45</v>
      </c>
      <c r="B319" s="25" t="str">
        <f>HYPERLINK("https://www.promusicals.com/index.php?product_id=571&amp;route=product/product","Mooer Groove Loop")</f>
        <v>Mooer Groove Loop</v>
      </c>
      <c r="C319" s="30">
        <v>9116</v>
      </c>
    </row>
    <row r="320" spans="1:3" ht="15.75" customHeight="1">
      <c r="A320" s="28">
        <v>46</v>
      </c>
      <c r="B320" s="26" t="str">
        <f>HYPERLINK("https://www.promusicals.com/index.php?product_id=1651&amp;route=product/product","Mooer Groove Loop X2")</f>
        <v>Mooer Groove Loop X2</v>
      </c>
      <c r="C320" s="30">
        <v>16789</v>
      </c>
    </row>
    <row r="321" spans="1:3" ht="15.75" customHeight="1">
      <c r="A321" s="28">
        <v>47</v>
      </c>
      <c r="B321" s="26" t="str">
        <f>HYPERLINK("https://www.promusicals.com/index.php?product_id=2084&amp;route=product/product","Mooer Harmonier")</f>
        <v>Mooer Harmonier</v>
      </c>
      <c r="C321" s="30">
        <v>16254</v>
      </c>
    </row>
    <row r="322" spans="1:3" ht="15.75" customHeight="1">
      <c r="A322" s="28">
        <v>48</v>
      </c>
      <c r="B322" s="25" t="str">
        <f>HYPERLINK("https://www.promusicals.com/index.php?product_id=2109&amp;route=product/product","Mooer Harmony X2 Harmony Effect")</f>
        <v>Mooer Harmony X2 Harmony Effect</v>
      </c>
      <c r="C322" s="30">
        <v>16385</v>
      </c>
    </row>
    <row r="323" spans="1:3" ht="15.75" customHeight="1">
      <c r="A323" s="28">
        <v>49</v>
      </c>
      <c r="B323" s="26" t="str">
        <f>HYPERLINK("https://www.promusicals.com/index.php?product_id=1652&amp;route=product/product","Mooer Leveline Volume Pedal")</f>
        <v>Mooer Leveline Volume Pedal</v>
      </c>
      <c r="C323" s="30">
        <v>7675</v>
      </c>
    </row>
    <row r="324" spans="1:3" ht="15.75" customHeight="1">
      <c r="A324" s="28">
        <v>50</v>
      </c>
      <c r="B324" s="26" t="str">
        <f>HYPERLINK("https://www.promusicals.com/index.php?product_id=1653&amp;route=product/product","Mooer Lofi Machine 3 Modes Decimator Effects")</f>
        <v>Mooer Lofi Machine 3 Modes Decimator Effects</v>
      </c>
      <c r="C324" s="30">
        <v>6717</v>
      </c>
    </row>
    <row r="325" spans="1:3" ht="15.75" customHeight="1">
      <c r="A325" s="28">
        <v>51</v>
      </c>
      <c r="B325" s="26" t="str">
        <f>HYPERLINK("https://www.promusicals.com/index.php?product_id=2086&amp;route=product/product","Mooer Loopation")</f>
        <v>Mooer Loopation</v>
      </c>
      <c r="C325" s="30">
        <v>16827</v>
      </c>
    </row>
    <row r="326" spans="1:3" ht="15.75" customHeight="1">
      <c r="A326" s="28">
        <v>52</v>
      </c>
      <c r="B326" s="26" t="str">
        <f>HYPERLINK("https://www.promusicals.com/index.php?product_id=2104&amp;route=product/product","Mooer LOOPER X2 STEREO LOOPER PEDAL")</f>
        <v>Mooer LOOPER X2 STEREO LOOPER PEDAL</v>
      </c>
      <c r="C326" s="30">
        <v>16798</v>
      </c>
    </row>
    <row r="327" spans="1:3" ht="15.75" customHeight="1">
      <c r="A327" s="28">
        <v>53</v>
      </c>
      <c r="B327" s="26" t="str">
        <f>HYPERLINK("https://www.promusicals.com/index.php?route=product/search&amp;search=Mooer%20MatchBox","Mooer MatchBox")</f>
        <v>Mooer MatchBox</v>
      </c>
      <c r="C327" s="30">
        <v>9315</v>
      </c>
    </row>
    <row r="328" spans="1:3" ht="15.75" customHeight="1">
      <c r="A328" s="28">
        <v>54</v>
      </c>
      <c r="B328" s="26" t="str">
        <f>HYPERLINK("https://www.promusicals.com/index.php?product_id=1654&amp;route=product/product","Mooer Micro ABY MKII ABY Box")</f>
        <v>Mooer Micro ABY MKII ABY Box</v>
      </c>
      <c r="C328" s="30">
        <v>3838</v>
      </c>
    </row>
    <row r="329" spans="1:3" ht="15.75" customHeight="1">
      <c r="A329" s="28">
        <v>55</v>
      </c>
      <c r="B329" s="26" t="str">
        <f>HYPERLINK("https://www.promusicals.com/index.php?product_id=1655&amp;route=product/product","Mooer Micro DI Direct Input Box")</f>
        <v>Mooer Micro DI Direct Input Box</v>
      </c>
      <c r="C329" s="30">
        <v>5996</v>
      </c>
    </row>
    <row r="330" spans="1:3" ht="15.75" customHeight="1">
      <c r="A330" s="28">
        <v>56</v>
      </c>
      <c r="B330" s="26" t="str">
        <f>HYPERLINK("https://www.promusicals.com/index.php?product_id=560&amp;route=product/product","Mooer Micro Looper")</f>
        <v>Mooer Micro Looper</v>
      </c>
      <c r="C330" s="30">
        <v>7100</v>
      </c>
    </row>
    <row r="331" spans="1:3" ht="15.75" customHeight="1">
      <c r="A331" s="28">
        <v>57</v>
      </c>
      <c r="B331" s="26" t="str">
        <f>HYPERLINK("https://www.promusicals.com/index.php?product_id=559&amp;route=product/product","Mooer Mod Factory MKII")</f>
        <v>Mooer Mod Factory MKII</v>
      </c>
      <c r="C331" s="30">
        <v>7675</v>
      </c>
    </row>
    <row r="332" spans="1:3" ht="15.75" customHeight="1">
      <c r="A332" s="28">
        <v>58</v>
      </c>
      <c r="B332" s="26" t="str">
        <f>HYPERLINK("https://www.promusicals.com/index.php?product_id=574&amp;route=product/product","Mooer Mod Factory Pro")</f>
        <v>Mooer Mod Factory Pro</v>
      </c>
      <c r="C332" s="30">
        <v>15085</v>
      </c>
    </row>
    <row r="333" spans="1:3" ht="15.75" customHeight="1">
      <c r="A333" s="28">
        <v>59</v>
      </c>
      <c r="B333" s="26" t="str">
        <f>HYPERLINK("https://www.promusicals.com/index.php?product_id=557&amp;route=product/product","Mooer ModVerb")</f>
        <v>Mooer ModVerb</v>
      </c>
      <c r="C333" s="30">
        <v>6235</v>
      </c>
    </row>
    <row r="334" spans="1:3" ht="15.75" customHeight="1">
      <c r="A334" s="28">
        <v>60</v>
      </c>
      <c r="B334" s="26" t="str">
        <f>HYPERLINK("https://www.promusicals.com/index.php?product_id=555&amp;route=product/product","Mooer Noise Killer")</f>
        <v>Mooer Noise Killer</v>
      </c>
      <c r="C334" s="30">
        <v>5996</v>
      </c>
    </row>
    <row r="335" spans="1:3" ht="15.75" customHeight="1">
      <c r="A335" s="28">
        <v>61</v>
      </c>
      <c r="B335" s="26" t="str">
        <f>HYPERLINK("https://www.promusicals.com/index.php?product_id=554&amp;route=product/product","Mooer Ocean Machine")</f>
        <v>Mooer Ocean Machine</v>
      </c>
      <c r="C335" s="30">
        <v>28835</v>
      </c>
    </row>
    <row r="336" spans="1:3" ht="15.75" customHeight="1">
      <c r="A336" s="28">
        <v>62</v>
      </c>
      <c r="B336" s="26" t="str">
        <f>HYPERLINK("https://www.promusicals.com/index.php?product_id=1945&amp;route=product/product","Mooer Ocean Machine II")</f>
        <v>Mooer Ocean Machine II</v>
      </c>
      <c r="C336" s="30">
        <v>28685</v>
      </c>
    </row>
    <row r="337" spans="1:3" ht="15.75" customHeight="1">
      <c r="A337" s="28">
        <v>63</v>
      </c>
      <c r="B337" s="26" t="str">
        <f>HYPERLINK("https://www.promusicals.com/index.php?product_id=1997&amp;route=product/product","Mooer P1 Intelligent Effect Pedal")</f>
        <v>Mooer P1 Intelligent Effect Pedal</v>
      </c>
      <c r="C337" s="30">
        <v>10326</v>
      </c>
    </row>
    <row r="338" spans="1:3" ht="15.75" customHeight="1">
      <c r="A338" s="28">
        <v>64</v>
      </c>
      <c r="B338" s="26" t="str">
        <f>HYPERLINK("https://www.promusicals.com/index.php?product_id=347&amp;route=product/product","Mooer PE100")</f>
        <v>Mooer PE100</v>
      </c>
      <c r="C338" s="30">
        <v>7675</v>
      </c>
    </row>
    <row r="339" spans="1:3" ht="15.75" customHeight="1">
      <c r="A339" s="28">
        <v>65</v>
      </c>
      <c r="B339" s="26" t="str">
        <f>HYPERLINK("https://www.promusicals.com/index.php?product_id=2114&amp;route=product/product","Mooer PHOENIX Digital Preamp")</f>
        <v>Mooer PHOENIX Digital Preamp</v>
      </c>
      <c r="C339" s="30">
        <v>10074</v>
      </c>
    </row>
    <row r="340" spans="1:3" ht="15.75" customHeight="1">
      <c r="A340" s="28">
        <v>66</v>
      </c>
      <c r="B340" s="26" t="str">
        <f>HYPERLINK("https://www.promusicals.com/index.php?product_id=2107&amp;route=product/product","Mooer Pitch Box")</f>
        <v>Mooer Pitch Box</v>
      </c>
      <c r="C340" s="30">
        <v>6477</v>
      </c>
    </row>
    <row r="341" spans="1:3" ht="15.75" customHeight="1">
      <c r="A341" s="28">
        <v>67</v>
      </c>
      <c r="B341" s="26" t="str">
        <f>HYPERLINK("https://www.promusicals.com/index.php?product_id=2108&amp;route=product/product","Mooer Pitch Step Pitch Shifting and Harmony Pedal")</f>
        <v>Mooer Pitch Step Pitch Shifting and Harmony Pedal</v>
      </c>
      <c r="C341" s="30">
        <v>12473</v>
      </c>
    </row>
    <row r="342" spans="1:3" ht="15.75" customHeight="1">
      <c r="A342" s="28">
        <v>68</v>
      </c>
      <c r="B342" s="26" t="str">
        <f>HYPERLINK("https://www.promusicals.com/index.php?product_id=2115&amp;route=product/product","Mooer Power-Zone Digital Preamp")</f>
        <v>Mooer Power-Zone Digital Preamp</v>
      </c>
      <c r="C342" s="30">
        <v>10074</v>
      </c>
    </row>
    <row r="343" spans="1:3" ht="15.75" customHeight="1">
      <c r="A343" s="28">
        <v>71</v>
      </c>
      <c r="B343" s="16" t="s">
        <v>441</v>
      </c>
      <c r="C343" s="30">
        <v>6732</v>
      </c>
    </row>
    <row r="344" spans="1:3" ht="15.75" customHeight="1">
      <c r="A344" s="28">
        <v>72</v>
      </c>
      <c r="B344" s="16" t="s">
        <v>442</v>
      </c>
      <c r="C344" s="30">
        <v>8414</v>
      </c>
    </row>
    <row r="345" spans="1:3" ht="15.75" customHeight="1">
      <c r="A345" s="28">
        <v>73</v>
      </c>
      <c r="B345" s="26" t="str">
        <f>HYPERLINK("https://www.promusicals.com/index.php?route=product/search&amp;search=Mooer%20R7%20Digital%20Reverb%20Pedal","Mooer R7 Digital Reverb Pedal")</f>
        <v>Mooer R7 Digital Reverb Pedal</v>
      </c>
      <c r="C345" s="30">
        <v>10074</v>
      </c>
    </row>
    <row r="346" spans="1:3" ht="15.75" customHeight="1">
      <c r="A346" s="28">
        <v>74</v>
      </c>
      <c r="B346" s="26" t="str">
        <f>HYPERLINK("https://www.promusicals.com/index.php?route=product/search&amp;search=Mooer%20R7%20X2%20Reverb","Mooer R7 X2 Reverb")</f>
        <v>Mooer R7 X2 Reverb</v>
      </c>
      <c r="C346" s="30">
        <v>17989</v>
      </c>
    </row>
    <row r="347" spans="1:3" ht="15.75" customHeight="1">
      <c r="A347" s="28">
        <v>75</v>
      </c>
      <c r="B347" s="26" t="str">
        <f>HYPERLINK("https://www.promusicals.com/index.php?product_id=576&amp;route=product/product","Mooer Radar")</f>
        <v>Mooer Radar</v>
      </c>
      <c r="C347" s="30">
        <v>17269</v>
      </c>
    </row>
    <row r="348" spans="1:3" ht="15.75" customHeight="1">
      <c r="A348" s="28">
        <v>76</v>
      </c>
      <c r="B348" s="26" t="str">
        <f>HYPERLINK("https://www.promusicals.com/index.php?product_id=349&amp;route=product/product","Mooer Red Truck")</f>
        <v>Mooer Red Truck</v>
      </c>
      <c r="C348" s="30">
        <v>24224</v>
      </c>
    </row>
    <row r="349" spans="1:3" ht="15.75" customHeight="1">
      <c r="A349" s="28">
        <v>77</v>
      </c>
      <c r="B349" s="26" t="str">
        <f>HYPERLINK("https://www.promusicals.com/index.php?product_id=577&amp;route=product/product","Mooer Reecho")</f>
        <v>Mooer Reecho</v>
      </c>
      <c r="C349" s="30">
        <v>6717</v>
      </c>
    </row>
    <row r="350" spans="1:3" ht="15.75" customHeight="1">
      <c r="A350" s="28">
        <v>78</v>
      </c>
      <c r="B350" s="26" t="str">
        <f>HYPERLINK("https://www.promusicals.com/index.php?product_id=1657&amp;route=product/product","Mooer Reecho Pro Digital Delay Pedal")</f>
        <v>Mooer Reecho Pro Digital Delay Pedal</v>
      </c>
      <c r="C350" s="30">
        <v>12231</v>
      </c>
    </row>
    <row r="351" spans="1:3" ht="15.75" customHeight="1">
      <c r="A351" s="28">
        <v>79</v>
      </c>
      <c r="B351" s="26" t="str">
        <f>HYPERLINK("https://www.promusicals.com/index.php?route=product/search&amp;search=Mooer%20Regal%20Tone","Mooer Regal Tone")</f>
        <v>Mooer Regal Tone</v>
      </c>
      <c r="C351" s="30">
        <v>9315</v>
      </c>
    </row>
    <row r="352" spans="1:3" ht="15.75" customHeight="1">
      <c r="A352" s="28">
        <v>80</v>
      </c>
      <c r="B352" s="26" t="str">
        <f>HYPERLINK("https://www.promusicals.com/index.php?product_id=1658&amp;route=product/product","Mooer Repeater 3 Modes Digital Delay Pedal")</f>
        <v>Mooer Repeater 3 Modes Digital Delay Pedal</v>
      </c>
      <c r="C352" s="30">
        <v>6717</v>
      </c>
    </row>
    <row r="353" spans="1:3" ht="15.75" customHeight="1">
      <c r="A353" s="28">
        <v>81</v>
      </c>
      <c r="B353" s="16" t="s">
        <v>443</v>
      </c>
      <c r="C353" s="30">
        <v>6477</v>
      </c>
    </row>
    <row r="354" spans="1:3" ht="15.75" customHeight="1">
      <c r="A354" s="28">
        <v>82</v>
      </c>
      <c r="B354" s="26" t="str">
        <f>HYPERLINK("https://www.promusicals.com/index.php?route=product/search&amp;search=Mooer%20Silvereye","Mooer Silvereye")</f>
        <v>Mooer Silvereye</v>
      </c>
      <c r="C354" s="30">
        <v>15085</v>
      </c>
    </row>
    <row r="355" spans="1:3" ht="15.75" customHeight="1">
      <c r="A355" s="28">
        <v>83</v>
      </c>
      <c r="B355" s="26" t="str">
        <f>HYPERLINK("https://www.promusicals.com/index.php?product_id=1661&amp;route=product/product","Mooer Slow Engine Slow Motion Pedal")</f>
        <v>Mooer Slow Engine Slow Motion Pedal</v>
      </c>
      <c r="C355" s="30">
        <v>6717</v>
      </c>
    </row>
    <row r="356" spans="1:3" ht="15.75" customHeight="1">
      <c r="A356" s="28">
        <v>84</v>
      </c>
      <c r="B356" s="26" t="str">
        <f>HYPERLINK("https://www.promusicals.com/index.php?product_id=580&amp;route=product/product","Mooer Solo")</f>
        <v>Mooer Solo</v>
      </c>
      <c r="C356" s="30">
        <v>5276</v>
      </c>
    </row>
    <row r="357" spans="1:3" ht="15.75" customHeight="1">
      <c r="A357" s="28">
        <v>85</v>
      </c>
      <c r="B357" s="26" t="str">
        <f>HYPERLINK("https://www.promusicals.com/index.php?product_id=2110&amp;route=product/product","Mooer Sweeper Envelope Filter Pedal")</f>
        <v>Mooer Sweeper Envelope Filter Pedal</v>
      </c>
      <c r="C357" s="30">
        <v>5276</v>
      </c>
    </row>
    <row r="358" spans="1:3" ht="15.75" customHeight="1">
      <c r="A358" s="28">
        <v>86</v>
      </c>
      <c r="B358" s="26" t="str">
        <f>HYPERLINK("https://www.promusicals.com/index.php?product_id=581&amp;route=product/product","Mooer Taxidea Taxus")</f>
        <v>Mooer Taxidea Taxus</v>
      </c>
      <c r="C358" s="30">
        <v>9315</v>
      </c>
    </row>
    <row r="359" spans="1:3" ht="15.75" customHeight="1">
      <c r="A359" s="28">
        <v>87</v>
      </c>
      <c r="B359" s="26" t="str">
        <f>HYPERLINK("https://www.promusicals.com/index.php?product_id=582&amp;route=product/product","Mooer Tender Octaver MKII")</f>
        <v>Mooer Tender Octaver MKII</v>
      </c>
      <c r="C359" s="30">
        <v>7985</v>
      </c>
    </row>
    <row r="360" spans="1:3" ht="15.75" customHeight="1">
      <c r="A360" s="28">
        <v>88</v>
      </c>
      <c r="B360" s="26" t="str">
        <f>HYPERLINK("https://www.promusicals.com/index.php?product_id=1664&amp;route=product/product","Mooer Tender Octaver Pro Precise Octave Pedal")</f>
        <v>Mooer Tender Octaver Pro Precise Octave Pedal</v>
      </c>
      <c r="C360" s="30">
        <v>15085</v>
      </c>
    </row>
    <row r="361" spans="1:3" ht="15.75" customHeight="1">
      <c r="A361" s="28">
        <v>89</v>
      </c>
      <c r="B361" s="26" t="str">
        <f>HYPERLINK("https://www.promusicals.com/index.php?product_id=2488&amp;route=product/product","Mooer Tender Octaver X2")</f>
        <v>Mooer Tender Octaver X2</v>
      </c>
      <c r="C361" s="30">
        <v>16385</v>
      </c>
    </row>
    <row r="362" spans="1:3" ht="15.75" customHeight="1">
      <c r="A362" s="28">
        <v>90</v>
      </c>
      <c r="B362" s="26" t="str">
        <f>HYPERLINK("https://www.promusicals.com/index.php?product_id=583&amp;route=product/product","Mooer The Wahter")</f>
        <v>Mooer The Wahter</v>
      </c>
      <c r="C362" s="30">
        <v>9594</v>
      </c>
    </row>
    <row r="363" spans="1:3" ht="15.75" customHeight="1">
      <c r="A363" s="28">
        <v>91</v>
      </c>
      <c r="B363" s="26" t="str">
        <f>HYPERLINK("https://www.promusicals.com/index.php?product_id=1666&amp;route=product/product","Mooer Trelicopter Optical Tremolo Pedal")</f>
        <v>Mooer Trelicopter Optical Tremolo Pedal</v>
      </c>
      <c r="C363" s="30">
        <v>4796</v>
      </c>
    </row>
    <row r="364" spans="1:3" ht="15.75" customHeight="1">
      <c r="A364" s="28">
        <v>92</v>
      </c>
      <c r="B364" s="26" t="str">
        <f>HYPERLINK("https://www.promusicals.com/index.php?route=product/search&amp;search=Mooer%20TresCab","Mooer TresCab")</f>
        <v>Mooer TresCab</v>
      </c>
      <c r="C364" s="30">
        <v>6717</v>
      </c>
    </row>
    <row r="365" spans="1:3" ht="15.75" customHeight="1">
      <c r="A365" s="28">
        <v>93</v>
      </c>
      <c r="B365" s="26" t="str">
        <f>HYPERLINK("https://www.promusicals.com/index.php?route=product/search&amp;search=Mooer%20Triangolo%20Digital%20Tremolo%20Pedal","Mooer Triangolo Digital Tremolo Pedal")</f>
        <v>Mooer Triangolo Digital Tremolo Pedal</v>
      </c>
      <c r="C365" s="30">
        <v>6717</v>
      </c>
    </row>
    <row r="366" spans="1:3" ht="15.75" customHeight="1">
      <c r="A366" s="28">
        <v>94</v>
      </c>
      <c r="B366" s="26" t="str">
        <f>HYPERLINK("https://www.promusicals.com/index.php?product_id=1660&amp;route=product/product","Mooer Twin Series ShimVerb Pro Digital Reverb Pedal")</f>
        <v>Mooer Twin Series ShimVerb Pro Digital Reverb Pedal</v>
      </c>
      <c r="C366" s="30">
        <v>12231</v>
      </c>
    </row>
    <row r="367" spans="1:3" ht="15.75" customHeight="1">
      <c r="A367" s="28">
        <v>95</v>
      </c>
      <c r="B367" s="26" t="str">
        <f>HYPERLINK("https://www.promusicals.com/index.php?product_id=584&amp;route=product/product","Mooer Two Stone")</f>
        <v>Mooer Two Stone</v>
      </c>
      <c r="C367" s="30">
        <v>10074</v>
      </c>
    </row>
    <row r="368" spans="1:3" ht="15.75" customHeight="1">
      <c r="A368" s="28">
        <v>96</v>
      </c>
      <c r="B368" s="26" t="str">
        <f>HYPERLINK("https://www.promusicals.com/index.php?product_id=585&amp;route=product/product","Mooer UK Gold 900")</f>
        <v>Mooer UK Gold 900</v>
      </c>
      <c r="C368" s="30">
        <v>10074</v>
      </c>
    </row>
    <row r="369" spans="1:3" ht="15.75" customHeight="1">
      <c r="A369" s="28">
        <v>97</v>
      </c>
      <c r="B369" s="26" t="str">
        <f>HYPERLINK("https://www.promusicals.com/index.php?product_id=2116&amp;route=product/product","Mooer UK Gold PLX Digital Preamp")</f>
        <v>Mooer UK Gold PLX Digital Preamp</v>
      </c>
      <c r="C369" s="30">
        <v>10074</v>
      </c>
    </row>
    <row r="370" spans="1:3" ht="15.75" customHeight="1">
      <c r="A370" s="28">
        <v>98</v>
      </c>
      <c r="B370" s="26" t="str">
        <f>HYPERLINK("https://www.promusicals.com/index.php?product_id=2489&amp;route=product/product","Mooer Ultra Drive MKII")</f>
        <v>Mooer Ultra Drive MKII</v>
      </c>
      <c r="C370" s="30">
        <v>5276</v>
      </c>
    </row>
    <row r="371" spans="1:3" ht="15.75" customHeight="1">
      <c r="A371" s="28">
        <v>99</v>
      </c>
      <c r="B371" s="26" t="str">
        <f>HYPERLINK("https://www.promusicals.com/index.php?product_id=568&amp;route=product/product","Mooer US Classic Deluxe")</f>
        <v>Mooer US Classic Deluxe</v>
      </c>
      <c r="C371" s="30">
        <v>9315</v>
      </c>
    </row>
    <row r="372" spans="1:3" ht="15.75" customHeight="1">
      <c r="A372" s="28">
        <v>100</v>
      </c>
      <c r="B372" s="26" t="str">
        <f>HYPERLINK("https://www.promusicals.com/index.php?product_id=565&amp;route=product/product","Mooer US GOLD 100")</f>
        <v>Mooer US GOLD 100</v>
      </c>
      <c r="C372" s="30">
        <v>10074</v>
      </c>
    </row>
    <row r="373" spans="1:3" ht="15.75" customHeight="1">
      <c r="A373" s="28">
        <v>101</v>
      </c>
      <c r="B373" s="26" t="str">
        <f>HYPERLINK("https://www.promusicals.com/index.php?product_id=2098&amp;route=product/product","Mooer Wah Digital Auto Wah Pedal")</f>
        <v>Mooer Wah Digital Auto Wah Pedal</v>
      </c>
      <c r="C373" s="30">
        <v>6477</v>
      </c>
    </row>
    <row r="374" spans="1:3" ht="15.75" customHeight="1">
      <c r="A374" s="28">
        <v>102</v>
      </c>
      <c r="B374" s="26" t="str">
        <f>HYPERLINK("https://www.promusicals.com/index.php?product_id=2113&amp;route=product/product","Mooer Yellow Comp Compressor Pedal")</f>
        <v>Mooer Yellow Comp Compressor Pedal</v>
      </c>
      <c r="C374" s="30">
        <v>6568</v>
      </c>
    </row>
    <row r="375" spans="1:3" ht="15.75" customHeight="1">
      <c r="B375" s="18"/>
      <c r="C375" s="30"/>
    </row>
    <row r="376" spans="1:3" ht="15.75" customHeight="1">
      <c r="A376" s="66" t="s">
        <v>444</v>
      </c>
      <c r="B376" s="67"/>
      <c r="C376" s="68"/>
    </row>
    <row r="377" spans="1:3" ht="15.75" customHeight="1">
      <c r="B377" s="18"/>
      <c r="C377" s="30"/>
    </row>
    <row r="378" spans="1:3" ht="15.75" customHeight="1">
      <c r="A378" s="6" t="s">
        <v>6</v>
      </c>
      <c r="B378" s="6" t="s">
        <v>7</v>
      </c>
      <c r="C378" s="6" t="s">
        <v>11</v>
      </c>
    </row>
    <row r="379" spans="1:3" ht="15.75" customHeight="1">
      <c r="A379" s="31">
        <v>1</v>
      </c>
      <c r="B379" s="54" t="str">
        <f>HYPERLINK("https://www.promusicals.com/index.php?product_id=1673&amp;route=product/product","Universal Audio UAFX 1176 Studio Compressor")</f>
        <v>Universal Audio UAFX 1176 Studio Compressor</v>
      </c>
      <c r="C379" s="58">
        <v>19110</v>
      </c>
    </row>
    <row r="380" spans="1:3" ht="15.75" customHeight="1">
      <c r="A380" s="31">
        <v>2</v>
      </c>
      <c r="B380" s="60" t="s">
        <v>445</v>
      </c>
      <c r="C380" s="58">
        <v>54275</v>
      </c>
    </row>
    <row r="381" spans="1:3" ht="15.75" customHeight="1">
      <c r="A381" s="31">
        <v>3</v>
      </c>
      <c r="B381" s="60" t="s">
        <v>446</v>
      </c>
      <c r="C381" s="58">
        <v>54275</v>
      </c>
    </row>
    <row r="382" spans="1:3" ht="15.75" customHeight="1">
      <c r="A382" s="31">
        <v>4</v>
      </c>
      <c r="B382" s="56" t="str">
        <f>HYPERLINK("https://www.promusicals.com/index.php?route=product/search&amp;search=Universal%20Audio%20UAFX%20Brigade%20Chorus","Universal Audio UAFX Brigade Chorus &amp; Vibrato")</f>
        <v>Universal Audio UAFX Brigade Chorus &amp; Vibrato</v>
      </c>
      <c r="C382" s="58">
        <v>22990</v>
      </c>
    </row>
    <row r="383" spans="1:3" ht="15.75" customHeight="1">
      <c r="A383" s="31">
        <v>5</v>
      </c>
      <c r="B383" s="60" t="s">
        <v>447</v>
      </c>
      <c r="C383" s="58">
        <v>49425</v>
      </c>
    </row>
    <row r="384" spans="1:3" ht="15.75" customHeight="1">
      <c r="A384" s="31">
        <v>6</v>
      </c>
      <c r="B384" s="56" t="str">
        <f>HYPERLINK("https://www.promusicals.com/index.php?product_id=1468&amp;route=product/product","Universal Audio UAFX Dream '65 Reverb Amplifier")</f>
        <v>Universal Audio UAFX Dream '65 Reverb Amplifier</v>
      </c>
      <c r="C384" s="58">
        <v>49425</v>
      </c>
    </row>
    <row r="385" spans="1:3" ht="15.75" customHeight="1">
      <c r="A385" s="31">
        <v>7</v>
      </c>
      <c r="B385" s="56" t="str">
        <f>HYPERLINK("https://www.promusicals.com/index.php?product_id=1942&amp;route=product/product","Universal Audio UAFX Enigmatic '82 Overdrive Special Amp")</f>
        <v>Universal Audio UAFX Enigmatic '82 Overdrive Special Amp</v>
      </c>
      <c r="C385" s="83">
        <v>49425</v>
      </c>
    </row>
    <row r="386" spans="1:3" ht="15.75" customHeight="1">
      <c r="A386" s="28">
        <v>8</v>
      </c>
      <c r="B386" s="56" t="str">
        <f>HYPERLINK("https://www.promusicals.com/index.php?product_id=1772&amp;route=product/product","Universal Audio UAFX Evermore Studio Reverb")</f>
        <v>Universal Audio UAFX Evermore Studio Reverb</v>
      </c>
      <c r="C386" s="58">
        <v>22990</v>
      </c>
    </row>
    <row r="387" spans="1:3" ht="15.75" customHeight="1">
      <c r="A387" s="28">
        <v>9</v>
      </c>
      <c r="B387" s="25" t="str">
        <f>HYPERLINK("https://www.promusicals.com/index.php?route=product/search&amp;search=Universal%20Audio%20UAFX%20Flow%20Vintage%20Tremolo","Universal Audio UAFX Flow Vintage Tremolo")</f>
        <v>Universal Audio UAFX Flow Vintage Tremolo</v>
      </c>
      <c r="C387" s="30">
        <v>22990</v>
      </c>
    </row>
    <row r="388" spans="1:3" ht="15.75" customHeight="1">
      <c r="A388" s="28">
        <v>10</v>
      </c>
      <c r="B388" s="26" t="str">
        <f>HYPERLINK("https://www.promusicals.com/index.php?route=product/search&amp;search=Universal%20Audio%20UAFX%20Galaxy%2074","Universal Audio UAFX Galaxy '74 Tape Echo &amp; Reverb")</f>
        <v>Universal Audio UAFX Galaxy '74 Tape Echo &amp; Reverb</v>
      </c>
      <c r="C388" s="30">
        <v>47475</v>
      </c>
    </row>
    <row r="389" spans="1:3" ht="15.75" customHeight="1">
      <c r="A389" s="28">
        <v>11</v>
      </c>
      <c r="B389" s="26" t="str">
        <f>HYPERLINK("https://www.promusicals.com/index.php?product_id=1048&amp;route=product/product","Universal Audio UAFX Golden Reverberator Stereo Effects Pedal")</f>
        <v>Universal Audio UAFX Golden Reverberator Stereo Effects Pedal</v>
      </c>
      <c r="C389" s="30">
        <v>49425</v>
      </c>
    </row>
    <row r="390" spans="1:3" ht="15.75" customHeight="1">
      <c r="A390" s="28">
        <v>12</v>
      </c>
      <c r="B390" s="26" t="str">
        <f>HYPERLINK("https://www.promusicals.com/index.php?product_id=1773&amp;route=product/product","Universal Audio UAFX Heavenly Plate Reverb")</f>
        <v>Universal Audio UAFX Heavenly Plate Reverb</v>
      </c>
      <c r="C390" s="30">
        <v>22990</v>
      </c>
    </row>
    <row r="391" spans="1:3" ht="15.75" customHeight="1">
      <c r="A391" s="28">
        <v>13</v>
      </c>
      <c r="B391" s="25" t="str">
        <f>HYPERLINK("https://www.promusicals.com/index.php?product_id=1985&amp;route=product/product","Universal Audio UAFX Knuckles ‘92 Rev F Dual Rec Amplifier")</f>
        <v>Universal Audio UAFX Knuckles ‘92 Rev F Dual Rec Amplifier</v>
      </c>
      <c r="C391" s="30">
        <v>49425</v>
      </c>
    </row>
    <row r="392" spans="1:3" ht="15.75" customHeight="1">
      <c r="A392" s="28">
        <v>14</v>
      </c>
      <c r="B392" s="26" t="str">
        <f>HYPERLINK("https://www.promusicals.com/index.php?product_id=1771&amp;route=product/product","Universal Audio UAFX Lion 68 Super Lead Amp Pedal")</f>
        <v>Universal Audio UAFX Lion 68 Super Lead Amp Pedal</v>
      </c>
      <c r="C392" s="45">
        <v>49425</v>
      </c>
    </row>
    <row r="393" spans="1:3" ht="15.75" customHeight="1">
      <c r="A393" s="28">
        <v>15</v>
      </c>
      <c r="B393" s="26" t="str">
        <f>HYPERLINK("https://www.promusicals.com/index.php?route=product/search&amp;search=Universal%20Audio%20UAFX%20MAX%20Preamp%20Dual%20Compressor","Universal Audio UAFX MAX Preamp &amp; Dual Compressor")</f>
        <v>Universal Audio UAFX MAX Preamp &amp; Dual Compressor</v>
      </c>
      <c r="C393" s="30">
        <v>47475</v>
      </c>
    </row>
    <row r="394" spans="1:3" ht="15.75" customHeight="1">
      <c r="A394" s="28">
        <v>16</v>
      </c>
      <c r="B394" s="16" t="s">
        <v>448</v>
      </c>
      <c r="C394" s="30">
        <v>49425</v>
      </c>
    </row>
    <row r="395" spans="1:3" ht="15.75" customHeight="1">
      <c r="A395" s="28">
        <v>17</v>
      </c>
      <c r="B395" s="26" t="str">
        <f>HYPERLINK("https://www.promusicals.com/index.php?product_id=1469&amp;route=product/product","Universal Audio UAFX Ruby '63 Top Boost Amplifier")</f>
        <v>Universal Audio UAFX Ruby '63 Top Boost Amplifier</v>
      </c>
      <c r="C395" s="30">
        <v>49425</v>
      </c>
    </row>
    <row r="396" spans="1:3" ht="15.75" customHeight="1">
      <c r="A396" s="28">
        <v>18</v>
      </c>
      <c r="B396" s="16" t="s">
        <v>449</v>
      </c>
      <c r="C396" s="30">
        <v>49425</v>
      </c>
    </row>
    <row r="397" spans="1:3" ht="15.75" customHeight="1">
      <c r="A397" s="28">
        <v>19</v>
      </c>
      <c r="B397" s="25" t="str">
        <f>HYPERLINK("https://www.promusicals.com/index.php?route=product/product&amp;product_id=1774","Universal Audio Teletronix LA-2A Studio Compressor")</f>
        <v>Universal Audio Teletronix LA-2A Studio Compressor</v>
      </c>
      <c r="C397" s="30">
        <v>19110</v>
      </c>
    </row>
    <row r="398" spans="1:3" ht="15.75" customHeight="1">
      <c r="B398" s="25"/>
      <c r="C398" s="30"/>
    </row>
    <row r="399" spans="1:3" ht="15.75" customHeight="1">
      <c r="A399" s="66" t="s">
        <v>450</v>
      </c>
      <c r="B399" s="67"/>
      <c r="C399" s="68"/>
    </row>
    <row r="400" spans="1:3" ht="15.75" customHeight="1">
      <c r="B400" s="25"/>
      <c r="C400" s="30"/>
    </row>
    <row r="401" spans="1:3" ht="15.75" customHeight="1">
      <c r="A401" s="6" t="s">
        <v>6</v>
      </c>
      <c r="B401" s="6" t="s">
        <v>7</v>
      </c>
      <c r="C401" s="6" t="s">
        <v>11</v>
      </c>
    </row>
    <row r="402" spans="1:3" ht="15.75" customHeight="1">
      <c r="A402" s="28">
        <v>1</v>
      </c>
      <c r="B402" s="60" t="s">
        <v>451</v>
      </c>
      <c r="C402" s="61">
        <v>95373</v>
      </c>
    </row>
    <row r="403" spans="1:3" ht="15.75" customHeight="1">
      <c r="A403" s="28">
        <v>2</v>
      </c>
      <c r="B403" s="60" t="s">
        <v>452</v>
      </c>
      <c r="C403" s="61">
        <v>93094</v>
      </c>
    </row>
    <row r="404" spans="1:3" ht="15.75" customHeight="1">
      <c r="A404" s="28">
        <v>3</v>
      </c>
      <c r="B404" s="60" t="s">
        <v>453</v>
      </c>
      <c r="C404" s="61">
        <v>21957</v>
      </c>
    </row>
    <row r="405" spans="1:3" ht="15.75" customHeight="1">
      <c r="A405" s="28">
        <v>4</v>
      </c>
      <c r="B405" s="60" t="s">
        <v>454</v>
      </c>
      <c r="C405" s="58">
        <v>28280</v>
      </c>
    </row>
    <row r="406" spans="1:3" ht="15.75" customHeight="1">
      <c r="B406" s="16"/>
      <c r="C406" s="30"/>
    </row>
    <row r="407" spans="1:3" ht="15.75" customHeight="1">
      <c r="A407" s="66" t="s">
        <v>455</v>
      </c>
      <c r="B407" s="67"/>
      <c r="C407" s="68"/>
    </row>
    <row r="408" spans="1:3" ht="15.75" customHeight="1">
      <c r="B408" s="16"/>
      <c r="C408" s="30"/>
    </row>
    <row r="409" spans="1:3" ht="15.75" customHeight="1">
      <c r="A409" s="6" t="s">
        <v>6</v>
      </c>
      <c r="B409" s="6" t="s">
        <v>7</v>
      </c>
      <c r="C409" s="6" t="s">
        <v>11</v>
      </c>
    </row>
    <row r="410" spans="1:3" ht="15.75" customHeight="1">
      <c r="B410" s="16"/>
      <c r="C410" s="30"/>
    </row>
    <row r="411" spans="1:3" ht="15.75" customHeight="1">
      <c r="A411" s="28">
        <v>1</v>
      </c>
      <c r="B411" s="60" t="s">
        <v>456</v>
      </c>
      <c r="C411" s="58">
        <v>33732</v>
      </c>
    </row>
    <row r="412" spans="1:3" ht="15.75" customHeight="1">
      <c r="A412" s="28">
        <v>2</v>
      </c>
      <c r="B412" s="60" t="s">
        <v>457</v>
      </c>
      <c r="C412" s="58">
        <v>33732</v>
      </c>
    </row>
    <row r="413" spans="1:3" ht="15.75" customHeight="1">
      <c r="A413" s="28">
        <v>3</v>
      </c>
      <c r="B413" s="60" t="s">
        <v>458</v>
      </c>
      <c r="C413" s="58">
        <v>30118</v>
      </c>
    </row>
    <row r="414" spans="1:3" ht="15.75" customHeight="1">
      <c r="A414" s="28">
        <v>4</v>
      </c>
      <c r="B414" s="60" t="s">
        <v>459</v>
      </c>
      <c r="C414" s="58">
        <v>42167</v>
      </c>
    </row>
    <row r="415" spans="1:3" ht="15.75" customHeight="1">
      <c r="A415" s="28">
        <v>5</v>
      </c>
      <c r="B415" s="60" t="s">
        <v>460</v>
      </c>
      <c r="C415" s="58">
        <v>36142</v>
      </c>
    </row>
    <row r="416" spans="1:3" ht="15.75" customHeight="1">
      <c r="A416" s="28">
        <v>6</v>
      </c>
      <c r="B416" s="60" t="s">
        <v>461</v>
      </c>
      <c r="C416" s="58">
        <v>36142</v>
      </c>
    </row>
    <row r="417" spans="1:3" ht="15.75" customHeight="1">
      <c r="A417" s="28">
        <v>7</v>
      </c>
      <c r="B417" s="60" t="s">
        <v>462</v>
      </c>
      <c r="C417" s="58">
        <v>55417</v>
      </c>
    </row>
    <row r="418" spans="1:3" ht="15.75" customHeight="1">
      <c r="A418" s="28">
        <v>8</v>
      </c>
      <c r="B418" s="60" t="s">
        <v>463</v>
      </c>
      <c r="C418" s="58">
        <v>42167</v>
      </c>
    </row>
    <row r="419" spans="1:3" ht="15.75" customHeight="1">
      <c r="A419" s="28">
        <v>9</v>
      </c>
      <c r="B419" s="16" t="s">
        <v>464</v>
      </c>
      <c r="C419" s="30">
        <v>53683</v>
      </c>
    </row>
    <row r="420" spans="1:3" ht="15.75" customHeight="1">
      <c r="A420" s="28">
        <v>10</v>
      </c>
      <c r="B420" s="16" t="s">
        <v>465</v>
      </c>
      <c r="C420" s="30">
        <v>30225</v>
      </c>
    </row>
    <row r="421" spans="1:3" ht="15.75" customHeight="1">
      <c r="B421" s="16"/>
      <c r="C421" s="30"/>
    </row>
    <row r="422" spans="1:3" ht="15.75" customHeight="1">
      <c r="A422" s="66" t="s">
        <v>466</v>
      </c>
      <c r="B422" s="67"/>
      <c r="C422" s="68"/>
    </row>
    <row r="423" spans="1:3" ht="15.75" customHeight="1">
      <c r="B423" s="16"/>
      <c r="C423" s="30"/>
    </row>
    <row r="424" spans="1:3" ht="15.75" customHeight="1">
      <c r="A424" s="6" t="s">
        <v>6</v>
      </c>
      <c r="B424" s="6" t="s">
        <v>7</v>
      </c>
      <c r="C424" s="6" t="s">
        <v>11</v>
      </c>
    </row>
    <row r="425" spans="1:3" ht="15.75" customHeight="1">
      <c r="B425" s="16"/>
      <c r="C425" s="30"/>
    </row>
    <row r="426" spans="1:3" ht="15.75" customHeight="1">
      <c r="A426" s="28">
        <v>1</v>
      </c>
      <c r="B426" s="60" t="s">
        <v>467</v>
      </c>
      <c r="C426" s="58">
        <v>33125</v>
      </c>
    </row>
    <row r="427" spans="1:3" ht="15.75" customHeight="1">
      <c r="A427" s="28">
        <v>2</v>
      </c>
      <c r="B427" s="60" t="s">
        <v>468</v>
      </c>
      <c r="C427" s="58">
        <v>41703</v>
      </c>
    </row>
    <row r="428" spans="1:3" ht="15.75" customHeight="1">
      <c r="A428" s="28">
        <v>3</v>
      </c>
      <c r="B428" s="60" t="s">
        <v>469</v>
      </c>
      <c r="C428" s="58">
        <v>41703</v>
      </c>
    </row>
    <row r="429" spans="1:3" ht="15.75" customHeight="1">
      <c r="A429" s="28">
        <v>4</v>
      </c>
      <c r="B429" s="60" t="s">
        <v>470</v>
      </c>
      <c r="C429" s="58">
        <v>29830</v>
      </c>
    </row>
    <row r="430" spans="1:3" ht="15.75" customHeight="1">
      <c r="B430" s="25"/>
      <c r="C430" s="30"/>
    </row>
    <row r="431" spans="1:3" ht="15.75" customHeight="1"/>
    <row r="432" spans="1:3" ht="15.75" customHeight="1">
      <c r="A432" s="69" t="s">
        <v>471</v>
      </c>
      <c r="B432" s="67"/>
      <c r="C432" s="68"/>
    </row>
    <row r="433" spans="1:3" ht="15.75" customHeight="1"/>
    <row r="434" spans="1:3" ht="15.75" customHeight="1">
      <c r="A434" s="66" t="s">
        <v>203</v>
      </c>
      <c r="B434" s="67"/>
      <c r="C434" s="68"/>
    </row>
    <row r="435" spans="1:3" ht="15.75" customHeight="1"/>
    <row r="436" spans="1:3" ht="15.75" customHeight="1">
      <c r="A436" s="46" t="s">
        <v>6</v>
      </c>
      <c r="B436" s="46" t="s">
        <v>7</v>
      </c>
      <c r="C436" s="46" t="s">
        <v>11</v>
      </c>
    </row>
    <row r="437" spans="1:3" ht="15.75" customHeight="1">
      <c r="A437" s="13">
        <v>1</v>
      </c>
      <c r="B437" s="62" t="str">
        <f>HYPERLINK("https://www.promusicals.com/index.php?manufacturer_id=59&amp;product_id=1552&amp;route=product/product","Focusrite ISA 1 Analogue")</f>
        <v>Focusrite ISA 1 Analogue</v>
      </c>
      <c r="C437" s="63">
        <v>79460</v>
      </c>
    </row>
    <row r="438" spans="1:3" ht="15.75" customHeight="1">
      <c r="A438" s="13">
        <v>2</v>
      </c>
      <c r="B438" s="60" t="s">
        <v>472</v>
      </c>
      <c r="C438" s="63">
        <v>257670</v>
      </c>
    </row>
    <row r="439" spans="1:3" ht="15.75" customHeight="1">
      <c r="A439" s="13">
        <v>3</v>
      </c>
      <c r="B439" s="64" t="str">
        <f>HYPERLINK("https://www.promusicals.com/index.php?manufacturer_id=59&amp;product_id=668&amp;route=product/product","Focusrite Scarlett Octo Pre")</f>
        <v>Focusrite Scarlett Octo Pre</v>
      </c>
      <c r="C439" s="63">
        <v>71590</v>
      </c>
    </row>
    <row r="440" spans="1:3" ht="15.75" customHeight="1">
      <c r="A440" s="13"/>
      <c r="B440" s="13"/>
      <c r="C440" s="13"/>
    </row>
    <row r="441" spans="1:3" ht="15.75" customHeight="1">
      <c r="A441" s="66" t="s">
        <v>92</v>
      </c>
      <c r="B441" s="67"/>
      <c r="C441" s="68"/>
    </row>
    <row r="442" spans="1:3" ht="15.75" customHeight="1">
      <c r="A442" s="46" t="s">
        <v>6</v>
      </c>
      <c r="B442" s="46" t="s">
        <v>7</v>
      </c>
      <c r="C442" s="46" t="s">
        <v>11</v>
      </c>
    </row>
    <row r="443" spans="1:3" ht="15.75" customHeight="1">
      <c r="A443" s="13">
        <v>4</v>
      </c>
      <c r="B443" s="62" t="str">
        <f>HYPERLINK("https://www.promusicals.com/index.php?manufacturer_id=58&amp;product_id=2015&amp;route=product/product","Apollo E1X Remote-controllable Unison Preamp (Dante)")</f>
        <v>Apollo E1X Remote-controllable Unison Preamp (Dante)</v>
      </c>
      <c r="C443" s="63">
        <v>56965</v>
      </c>
    </row>
    <row r="444" spans="1:3" ht="15.75" customHeight="1">
      <c r="A444" s="13">
        <v>5</v>
      </c>
      <c r="B444" s="62" t="str">
        <f>HYPERLINK("https://www.promusicals.com/index.php?manufacturer_id=58&amp;product_id=224&amp;route=product/product","Universal Audio 2-610")</f>
        <v>Universal Audio 2-610</v>
      </c>
      <c r="C444" s="63">
        <v>217238</v>
      </c>
    </row>
    <row r="445" spans="1:3" ht="15.75" customHeight="1">
      <c r="A445" s="13">
        <v>6</v>
      </c>
      <c r="B445" s="64" t="str">
        <f>HYPERLINK("https://www.promusicals.com/index.php?manufacturer_id=58&amp;product_id=222&amp;route=product/product","Universal Audio 4-710 Twin Finity")</f>
        <v>Universal Audio 4-710 Twin Finity</v>
      </c>
      <c r="C445" s="63">
        <v>236270</v>
      </c>
    </row>
    <row r="446" spans="1:3" ht="15.75" customHeight="1">
      <c r="A446" s="13">
        <v>7</v>
      </c>
      <c r="B446" s="64" t="str">
        <f>HYPERLINK("https://www.promusicals.com/index.php?manufacturer_id=58&amp;product_id=227&amp;route=product/product","Universal Audio 6176")</f>
        <v>Universal Audio 6176</v>
      </c>
      <c r="C446" s="63">
        <v>386685</v>
      </c>
    </row>
    <row r="447" spans="1:3" ht="15.75" customHeight="1">
      <c r="A447" s="13">
        <v>8</v>
      </c>
      <c r="B447" s="62" t="str">
        <f>HYPERLINK("https://www.promusicals.com/index.php?manufacturer_id=58&amp;product_id=223&amp;route=product/product","Universal Audio 710 Twin Finity")</f>
        <v>Universal Audio 710 Twin Finity</v>
      </c>
      <c r="C447" s="63">
        <v>118075</v>
      </c>
    </row>
    <row r="448" spans="1:3" ht="15.75" customHeight="1">
      <c r="A448" s="13">
        <v>9</v>
      </c>
      <c r="B448" s="62" t="str">
        <f>HYPERLINK("https://www.promusicals.com/index.php?manufacturer_id=58&amp;product_id=226&amp;route=product/product","Universal Audio LA-610")</f>
        <v>Universal Audio LA-610</v>
      </c>
      <c r="C448" s="63">
        <v>257750</v>
      </c>
    </row>
    <row r="449" spans="1:3" ht="15.75" customHeight="1">
      <c r="A449" s="13"/>
      <c r="B449" s="60" t="s">
        <v>473</v>
      </c>
      <c r="C449" s="63">
        <v>644565</v>
      </c>
    </row>
    <row r="450" spans="1:3" ht="15.75" customHeight="1">
      <c r="B450" s="60" t="s">
        <v>474</v>
      </c>
      <c r="C450" s="63">
        <v>386685</v>
      </c>
    </row>
    <row r="451" spans="1:3" ht="15.75" customHeight="1"/>
    <row r="452" spans="1:3" ht="15.75" customHeight="1">
      <c r="A452" s="69" t="s">
        <v>475</v>
      </c>
      <c r="B452" s="67"/>
      <c r="C452" s="68"/>
    </row>
    <row r="453" spans="1:3" ht="15.75" customHeight="1"/>
    <row r="454" spans="1:3" ht="15.75" customHeight="1">
      <c r="A454" s="66" t="s">
        <v>476</v>
      </c>
      <c r="B454" s="67"/>
      <c r="C454" s="68"/>
    </row>
    <row r="455" spans="1:3" ht="15.75" customHeight="1"/>
    <row r="456" spans="1:3" ht="15.75" customHeight="1">
      <c r="A456" s="46" t="s">
        <v>6</v>
      </c>
      <c r="B456" s="46" t="s">
        <v>7</v>
      </c>
      <c r="C456" s="46" t="s">
        <v>11</v>
      </c>
    </row>
    <row r="457" spans="1:3" ht="15.75" customHeight="1">
      <c r="A457" s="13">
        <v>1</v>
      </c>
      <c r="B457" s="62" t="str">
        <f>HYPERLINK("https://www.promusicals.com/index.php?path=522_656&amp;product_id=2276&amp;route=product/product","Proel DIGIPAD8")</f>
        <v>Proel DIGIPAD8</v>
      </c>
      <c r="C457" s="63">
        <v>36105</v>
      </c>
    </row>
    <row r="458" spans="1:3" ht="15.75" customHeight="1">
      <c r="A458" s="13">
        <v>2</v>
      </c>
      <c r="B458" s="62" t="str">
        <f>HYPERLINK("https://www.promusicals.com/index.php?path=522_656&amp;product_id=743&amp;route=product/product","Proel MQ10FX")</f>
        <v>Proel MQ10FX</v>
      </c>
      <c r="C458" s="63">
        <v>26127</v>
      </c>
    </row>
    <row r="459" spans="1:3" ht="15.75" customHeight="1">
      <c r="A459" s="13">
        <v>3</v>
      </c>
      <c r="B459" s="62" t="str">
        <f>HYPERLINK("https://www.promusicals.com/index.php?path=522_656&amp;product_id=745&amp;route=product/product","Proel MQ12USB")</f>
        <v>Proel MQ12USB</v>
      </c>
      <c r="C459" s="63">
        <v>43624</v>
      </c>
    </row>
    <row r="460" spans="1:3" ht="15.75" customHeight="1">
      <c r="A460" s="13">
        <v>4</v>
      </c>
      <c r="B460" s="62" t="str">
        <f>HYPERLINK("https://www.promusicals.com/index.php?path=522_656&amp;product_id=746&amp;route=product/product","Proel MQ16USB")</f>
        <v>Proel MQ16USB</v>
      </c>
      <c r="C460" s="63">
        <v>63846</v>
      </c>
    </row>
    <row r="461" spans="1:3" ht="15.75" customHeight="1">
      <c r="A461" s="13">
        <v>5</v>
      </c>
      <c r="B461" s="62" t="str">
        <f>HYPERLINK("https://www.promusicals.com/index.php?path=522_656&amp;product_id=742&amp;route=product/product","Proel MQ6")</f>
        <v>Proel MQ6</v>
      </c>
      <c r="C461" s="63">
        <v>12156</v>
      </c>
    </row>
    <row r="462" spans="1:3" ht="15.75" customHeight="1">
      <c r="A462" s="13">
        <v>6</v>
      </c>
      <c r="B462" s="62" t="str">
        <f>HYPERLINK("https://www.promusicals.com/index.php?path=522_656&amp;product_id=744&amp;route=product/product","Proel MQ6FX")</f>
        <v>Proel MQ6FX</v>
      </c>
      <c r="C462" s="63">
        <v>16359</v>
      </c>
    </row>
    <row r="463" spans="1:3" ht="15.75" customHeight="1">
      <c r="A463" s="13">
        <v>7</v>
      </c>
      <c r="B463" s="62" t="str">
        <f>HYPERLINK("https://www.promusicals.com/index.php?path=522_656&amp;product_id=2286&amp;route=product/product","Proel Playmix 10")</f>
        <v>Proel Playmix 10</v>
      </c>
      <c r="C463" s="63">
        <v>19236</v>
      </c>
    </row>
    <row r="464" spans="1:3" ht="15.75" customHeight="1">
      <c r="A464" s="13">
        <v>8</v>
      </c>
      <c r="B464" s="64" t="str">
        <f>HYPERLINK("https://www.promusicals.com/index.php?path=522_656&amp;product_id=2284&amp;route=product/product","Proel Playmix 6")</f>
        <v>Proel Playmix 6</v>
      </c>
      <c r="C464" s="63">
        <v>13545</v>
      </c>
    </row>
    <row r="465" spans="1:3" ht="15.75" customHeight="1">
      <c r="A465" s="13">
        <v>9</v>
      </c>
      <c r="B465" s="47" t="str">
        <f>HYPERLINK("https://www.promusicals.com/index.php?path=522_656&amp;product_id=2285&amp;route=product/product","Proel Playmix 8")</f>
        <v>Proel Playmix 8</v>
      </c>
      <c r="C465" s="48">
        <v>16610</v>
      </c>
    </row>
    <row r="466" spans="1:3" ht="15.75" customHeight="1"/>
    <row r="467" spans="1:3" ht="15.75" customHeight="1">
      <c r="A467" s="69" t="s">
        <v>477</v>
      </c>
      <c r="B467" s="67"/>
      <c r="C467" s="68"/>
    </row>
    <row r="468" spans="1:3" ht="15.75" customHeight="1"/>
    <row r="469" spans="1:3" ht="15.75" customHeight="1">
      <c r="A469" s="66" t="s">
        <v>476</v>
      </c>
      <c r="B469" s="67"/>
      <c r="C469" s="68"/>
    </row>
    <row r="470" spans="1:3" ht="15.75" customHeight="1"/>
    <row r="471" spans="1:3" ht="15.75" customHeight="1">
      <c r="A471" s="46" t="s">
        <v>6</v>
      </c>
      <c r="B471" s="46" t="s">
        <v>7</v>
      </c>
      <c r="C471" s="46" t="s">
        <v>11</v>
      </c>
    </row>
    <row r="472" spans="1:3" ht="15.75" customHeight="1">
      <c r="A472" s="13">
        <v>1</v>
      </c>
      <c r="B472" s="62" t="str">
        <f>HYPERLINK("https://www.promusicals.com/index.php?path=522_563&amp;product_id=1810&amp;route=product/product","Proel Diva 12A")</f>
        <v>Proel Diva 12A</v>
      </c>
      <c r="C472" s="63">
        <v>69815</v>
      </c>
    </row>
    <row r="473" spans="1:3" ht="15.75" customHeight="1">
      <c r="A473" s="13">
        <v>2</v>
      </c>
      <c r="B473" s="62" t="str">
        <f>HYPERLINK("https://www.promusicals.com/index.php?path=522_563&amp;product_id=1811&amp;route=product/product","Proel Diva 15A")</f>
        <v>Proel Diva 15A</v>
      </c>
      <c r="C473" s="63">
        <v>74615</v>
      </c>
    </row>
    <row r="474" spans="1:3" ht="15.75" customHeight="1">
      <c r="A474" s="13">
        <v>3</v>
      </c>
      <c r="B474" s="62" t="str">
        <f>HYPERLINK("https://www.promusicals.com/index.php?path=522_563&amp;product_id=2275&amp;route=product/product","Proel DIVASUB18A")</f>
        <v>Proel DIVASUB18A</v>
      </c>
      <c r="C474" s="63">
        <v>125075</v>
      </c>
    </row>
    <row r="475" spans="1:3" ht="15.75" customHeight="1">
      <c r="A475" s="13">
        <v>4</v>
      </c>
      <c r="B475" s="62" t="str">
        <f>HYPERLINK("https://www.promusicals.com/index.php?path=522_563&amp;product_id=739&amp;route=product/product","Proel Flash 12XD")</f>
        <v>Proel Flash 12XD</v>
      </c>
      <c r="C475" s="63">
        <v>97280</v>
      </c>
    </row>
    <row r="476" spans="1:3" ht="15.75" customHeight="1">
      <c r="A476" s="13">
        <v>5</v>
      </c>
      <c r="B476" s="62" t="str">
        <f>HYPERLINK("https://www.promusicals.com/index.php?path=522_563&amp;product_id=740&amp;route=product/product","Proel Flash 8XD")</f>
        <v>Proel Flash 8XD</v>
      </c>
      <c r="C476" s="63">
        <v>64990</v>
      </c>
    </row>
    <row r="477" spans="1:3" ht="15.75" customHeight="1">
      <c r="A477" s="13">
        <v>6</v>
      </c>
      <c r="B477" s="62" t="str">
        <f>HYPERLINK("https://www.promusicals.com/index.php?path=522_563&amp;product_id=1925&amp;route=product/product","Proel FREEONEX - ALL-IN-ONE Battery Powered Personal PA")</f>
        <v>Proel FREEONEX - ALL-IN-ONE Battery Powered Personal PA</v>
      </c>
      <c r="C477" s="63">
        <v>35665</v>
      </c>
    </row>
    <row r="478" spans="1:3" ht="15.75" customHeight="1">
      <c r="A478" s="13">
        <v>7</v>
      </c>
      <c r="B478" s="62" t="str">
        <f>HYPERLINK("https://www.promusicals.com/index.php?path=522_563&amp;product_id=2246&amp;route=product/product","Proel FREEONEX white")</f>
        <v>Proel FREEONEX white</v>
      </c>
      <c r="C478" s="63">
        <v>35665</v>
      </c>
    </row>
    <row r="479" spans="1:3" ht="15.75" customHeight="1">
      <c r="A479" s="13">
        <v>8</v>
      </c>
      <c r="B479" s="62" t="str">
        <f>HYPERLINK("https://www.promusicals.com/index.php?path=522_563&amp;product_id=1785&amp;route=product/product","Proel Freepass 10 USB All-In-One Portable Sound System")</f>
        <v>Proel Freepass 10 USB All-In-One Portable Sound System</v>
      </c>
      <c r="C479" s="63">
        <v>92835</v>
      </c>
    </row>
    <row r="480" spans="1:3" ht="15.75" customHeight="1">
      <c r="A480" s="13">
        <v>9</v>
      </c>
      <c r="B480" s="47" t="str">
        <f>HYPERLINK("https://www.promusicals.com/index.php?path=522_563&amp;product_id=1335&amp;route=product/product","Proel LT10A - Active 2-way loudspeaker systems")</f>
        <v>Proel LT10A - Active 2-way loudspeaker systems</v>
      </c>
      <c r="C480" s="48">
        <v>57660</v>
      </c>
    </row>
    <row r="481" spans="1:3" ht="15.75" customHeight="1">
      <c r="A481" s="13">
        <v>10</v>
      </c>
      <c r="B481" s="47" t="str">
        <f>HYPERLINK("https://www.promusicals.com/index.php?path=522_563&amp;product_id=1337&amp;route=product/product","Proel LT12A - Active 2-way loudspeaker systems")</f>
        <v>Proel LT12A - Active 2-way loudspeaker systems</v>
      </c>
      <c r="C481" s="48">
        <v>69510</v>
      </c>
    </row>
    <row r="482" spans="1:3" ht="15.75" customHeight="1">
      <c r="A482" s="13">
        <v>11</v>
      </c>
      <c r="B482" s="47" t="str">
        <f>HYPERLINK("https://www.promusicals.com/index.php?path=522_563&amp;product_id=1338&amp;route=product/product","Proel LT15A - Active 2-way loudspeaker systems")</f>
        <v>Proel LT15A - Active 2-way loudspeaker systems</v>
      </c>
      <c r="C482" s="48">
        <v>81360</v>
      </c>
    </row>
    <row r="483" spans="1:3" ht="15.75" customHeight="1">
      <c r="A483" s="13">
        <v>12</v>
      </c>
      <c r="B483" s="16" t="s">
        <v>478</v>
      </c>
      <c r="C483" s="48">
        <v>44840</v>
      </c>
    </row>
    <row r="484" spans="1:3" ht="15.75" customHeight="1">
      <c r="A484" s="13">
        <v>13</v>
      </c>
      <c r="B484" s="49" t="str">
        <f>HYPERLINK("https://www.promusicals.com/index.php?path=522_563&amp;product_id=2277&amp;route=product/product","Proel S10A Active Subwoofer")</f>
        <v>Proel S10A Active Subwoofer</v>
      </c>
      <c r="C484" s="48">
        <v>48110</v>
      </c>
    </row>
    <row r="485" spans="1:3" ht="15.75" customHeight="1">
      <c r="A485" s="13">
        <v>14</v>
      </c>
      <c r="B485" s="47" t="str">
        <f>HYPERLINK("https://www.promusicals.com/index.php?path=522_563&amp;product_id=2278&amp;route=product/product","Proel S12A Active Subwoofer")</f>
        <v>Proel S12A Active Subwoofer</v>
      </c>
      <c r="C485" s="48">
        <v>51770</v>
      </c>
    </row>
    <row r="486" spans="1:3" ht="15.75" customHeight="1">
      <c r="A486" s="13">
        <v>15</v>
      </c>
      <c r="B486" s="47" t="str">
        <f>HYPERLINK("https://www.promusicals.com/index.php?path=522_563&amp;product_id=1808&amp;route=product/product","Proel S15A Active Subwoofer 18"" 600W")</f>
        <v>Proel S15A Active Subwoofer 18" 600W</v>
      </c>
      <c r="C486" s="48">
        <v>65310</v>
      </c>
    </row>
    <row r="487" spans="1:3" ht="15.75" customHeight="1">
      <c r="A487" s="13">
        <v>16</v>
      </c>
      <c r="B487" s="47" t="str">
        <f>HYPERLINK("https://www.promusicals.com/index.php?path=522_563&amp;product_id=1807&amp;route=product/product","Proel S18A Active Subwoofer 18"" 600W")</f>
        <v>Proel S18A Active Subwoofer 18" 600W</v>
      </c>
      <c r="C487" s="48">
        <v>84830</v>
      </c>
    </row>
    <row r="488" spans="1:3" ht="15.75" customHeight="1">
      <c r="A488" s="13">
        <v>17</v>
      </c>
      <c r="B488" s="47" t="str">
        <f>HYPERLINK("https://www.promusicals.com/index.php?product_id=1806&amp;route=product/product","Proel Session 1 Compact Portable Column PA System")</f>
        <v>Proel Session 1 Compact Portable Column PA System</v>
      </c>
      <c r="C488" s="48">
        <v>36215</v>
      </c>
    </row>
    <row r="489" spans="1:3" ht="15.75" customHeight="1">
      <c r="A489" s="13">
        <v>18</v>
      </c>
      <c r="B489" s="47" t="str">
        <f>HYPERLINK("https://www.promusicals.com/index.php?path=522_563&amp;product_id=1805&amp;route=product/product","Proel Session 1 Free battery Powered Column PA System")</f>
        <v>Proel Session 1 Free battery Powered Column PA System</v>
      </c>
      <c r="C489" s="48">
        <v>44100</v>
      </c>
    </row>
    <row r="490" spans="1:3" ht="15.75" customHeight="1">
      <c r="A490" s="13">
        <v>19</v>
      </c>
      <c r="B490" s="47" t="str">
        <f>HYPERLINK("https://www.promusicals.com/index.php?path=522_563&amp;product_id=1039&amp;route=product/product","Proel Session 4 (Speaker stands are sold separately)")</f>
        <v>Proel Session 4 (Speaker stands are sold separately)</v>
      </c>
      <c r="C490" s="48">
        <v>155655</v>
      </c>
    </row>
    <row r="491" spans="1:3" ht="15.75" customHeight="1">
      <c r="A491" s="13">
        <v>20</v>
      </c>
      <c r="B491" s="47" t="str">
        <f>HYPERLINK("https://www.promusicals.com/index.php?path=522_563&amp;product_id=738&amp;route=product/product","Proel Session 6 (Speaker stands are sold separately)")</f>
        <v>Proel Session 6 (Speaker stands are sold separately)</v>
      </c>
      <c r="C491" s="48">
        <v>237535</v>
      </c>
    </row>
    <row r="492" spans="1:3" ht="15.75" customHeight="1">
      <c r="A492" s="13">
        <v>21</v>
      </c>
      <c r="B492" s="47" t="str">
        <f>HYPERLINK("https://www.promusicals.com/index.php?path=522_563&amp;product_id=2249&amp;route=product/product","Proel V10PRO")</f>
        <v>Proel V10PRO</v>
      </c>
      <c r="C492" s="48">
        <v>30890</v>
      </c>
    </row>
    <row r="493" spans="1:3" ht="15.75" customHeight="1">
      <c r="A493" s="13">
        <v>22</v>
      </c>
      <c r="B493" s="47" t="str">
        <f>HYPERLINK("https://www.promusicals.com/index.php?product_id=737&amp;route=product/product","Proel V12 Plus")</f>
        <v>Proel V12 Plus</v>
      </c>
      <c r="C493" s="48">
        <v>41385</v>
      </c>
    </row>
    <row r="494" spans="1:3" ht="15.75" customHeight="1">
      <c r="A494" s="13">
        <v>23</v>
      </c>
      <c r="B494" s="47" t="str">
        <f>HYPERLINK("https://www.promusicals.com/index.php?path=522_563&amp;product_id=2248&amp;route=product/product","Proel V12PRO")</f>
        <v>Proel V12PRO</v>
      </c>
      <c r="C494" s="48">
        <v>43350</v>
      </c>
    </row>
    <row r="495" spans="1:3" ht="15.75" customHeight="1">
      <c r="A495" s="13">
        <v>24</v>
      </c>
      <c r="B495" s="47" t="str">
        <f>HYPERLINK("https://www.promusicals.com/index.php?product_id=2247&amp;route=product/product","Proel V15PRO")</f>
        <v>Proel V15PRO</v>
      </c>
      <c r="C495" s="48">
        <v>48085</v>
      </c>
    </row>
    <row r="496" spans="1:3" ht="15.75" customHeight="1">
      <c r="A496" s="13">
        <v>25</v>
      </c>
      <c r="B496" s="47" t="str">
        <f>HYPERLINK("https://www.promusicals.com/index.php?product_id=2250&amp;route=product/product","Proel V8PRO")</f>
        <v>Proel V8PRO</v>
      </c>
      <c r="C496" s="48">
        <v>26230</v>
      </c>
    </row>
    <row r="497" spans="1:3" ht="15.75" customHeight="1">
      <c r="A497" s="13">
        <v>26</v>
      </c>
      <c r="B497" s="47" t="str">
        <f>HYPERLINK("https://www.promusicals.com/index.php?path=522_563&amp;product_id=1057&amp;route=product/product","Proel WD10AV2 - Active 2-way coaxial stage &amp; Drum monitor")</f>
        <v>Proel WD10AV2 - Active 2-way coaxial stage &amp; Drum monitor</v>
      </c>
      <c r="C497" s="48">
        <v>56940</v>
      </c>
    </row>
    <row r="498" spans="1:3" ht="15.75" customHeight="1">
      <c r="A498" s="13">
        <v>27</v>
      </c>
      <c r="B498" s="47" t="str">
        <f>HYPERLINK("https://www.promusicals.com/index.php?path=522_563&amp;product_id=1058&amp;route=product/product","Proel WD12AV2 - Active 2-way coaxial stage &amp; Drum monitor")</f>
        <v>Proel WD12AV2 - Active 2-way coaxial stage &amp; Drum monitor</v>
      </c>
      <c r="C498" s="48">
        <v>71590</v>
      </c>
    </row>
    <row r="499" spans="1:3" ht="15.75" customHeight="1">
      <c r="A499" s="13">
        <v>28</v>
      </c>
      <c r="B499" s="47" t="str">
        <f>HYPERLINK("https://www.promusicals.com/index.php?path=522_563&amp;product_id=1059&amp;route=product/product","Proel WD15AV2 - Active 2-way coaxial stage &amp; Drum monitor")</f>
        <v>Proel WD15AV2 - Active 2-way coaxial stage &amp; Drum monitor</v>
      </c>
      <c r="C499" s="48">
        <v>80340</v>
      </c>
    </row>
    <row r="500" spans="1:3" ht="15.75" customHeight="1">
      <c r="A500" s="13">
        <v>29</v>
      </c>
      <c r="B500" s="47" t="str">
        <f>HYPERLINK("https://www.promusicals.com/index.php?path=522_563&amp;product_id=1330&amp;route=product/product","Proel WX10A - Active 2-way coaxial stage &amp; Drum monitor")</f>
        <v>Proel WX10A - Active 2-way coaxial stage &amp; Drum monitor</v>
      </c>
      <c r="C500" s="48">
        <v>44515</v>
      </c>
    </row>
    <row r="501" spans="1:3" ht="15.75" customHeight="1">
      <c r="A501" s="13">
        <v>30</v>
      </c>
      <c r="B501" s="47" t="str">
        <f>HYPERLINK("https://www.promusicals.com/index.php?path=522_563&amp;product_id=1329&amp;route=product/product","Proel WX8A - Active 2-way coaxial stage &amp; Drum monitor")</f>
        <v>Proel WX8A - Active 2-way coaxial stage &amp; Drum monitor</v>
      </c>
      <c r="C501" s="48">
        <v>39885</v>
      </c>
    </row>
    <row r="502" spans="1:3" ht="15.75" customHeight="1"/>
    <row r="503" spans="1:3" ht="15.75" customHeight="1">
      <c r="A503" s="69" t="s">
        <v>479</v>
      </c>
      <c r="B503" s="67"/>
      <c r="C503" s="68"/>
    </row>
    <row r="504" spans="1:3" ht="15.75" customHeight="1"/>
    <row r="505" spans="1:3" ht="15.75" customHeight="1">
      <c r="A505" s="66" t="s">
        <v>480</v>
      </c>
      <c r="B505" s="67"/>
      <c r="C505" s="68"/>
    </row>
    <row r="506" spans="1:3" ht="15.75" customHeight="1"/>
    <row r="507" spans="1:3" ht="15.75" customHeight="1">
      <c r="A507" s="46" t="s">
        <v>6</v>
      </c>
      <c r="B507" s="46" t="s">
        <v>7</v>
      </c>
      <c r="C507" s="46" t="s">
        <v>11</v>
      </c>
    </row>
    <row r="508" spans="1:3" ht="15.75" customHeight="1">
      <c r="A508" s="13">
        <v>1</v>
      </c>
      <c r="B508" s="62" t="str">
        <f>HYPERLINK("https://www.promusicals.com/index.php?path=518_556&amp;product_id=276&amp;route=product/product","Novation 49SL MKIII")</f>
        <v>Novation 49SL MKIII</v>
      </c>
      <c r="C508" s="63">
        <v>87590</v>
      </c>
    </row>
    <row r="509" spans="1:3" ht="15.75" customHeight="1">
      <c r="A509" s="13">
        <v>2</v>
      </c>
      <c r="B509" s="64" t="str">
        <f>HYPERLINK("https://www.promusicals.com/index.php?path=518_556&amp;product_id=300&amp;route=product/product","Novation 61SL MKIII")</f>
        <v>Novation 61SL MKIII</v>
      </c>
      <c r="C509" s="63">
        <v>101640</v>
      </c>
    </row>
    <row r="510" spans="1:3" ht="15.75" customHeight="1">
      <c r="A510" s="13">
        <v>3</v>
      </c>
      <c r="B510" s="62" t="str">
        <f>HYPERLINK("https://www.promusicals.com/index.php?path=518_556&amp;product_id=2411&amp;route=product/product","Novation FLkey 2 - 37")</f>
        <v>Novation FLkey 2 - 37</v>
      </c>
      <c r="C510" s="63">
        <v>26930</v>
      </c>
    </row>
    <row r="511" spans="1:3" ht="15.75" customHeight="1">
      <c r="A511" s="13">
        <v>4</v>
      </c>
      <c r="B511" s="62" t="str">
        <f>HYPERLINK("https://www.promusicals.com/index.php?path=518_556&amp;product_id=2412&amp;route=product/product","Novation FLkey 2 - 49")</f>
        <v>Novation FLkey 2 - 49</v>
      </c>
      <c r="C511" s="63">
        <v>32085</v>
      </c>
    </row>
    <row r="512" spans="1:3" ht="15.75" customHeight="1">
      <c r="A512" s="13">
        <v>5</v>
      </c>
      <c r="B512" s="62" t="str">
        <f>HYPERLINK("https://www.promusicals.com/index.php?path=518_556&amp;product_id=2414&amp;route=product/product","Novation FLkey 2 - 61")</f>
        <v>Novation FLkey 2 - 61</v>
      </c>
      <c r="C512" s="63">
        <v>38640</v>
      </c>
    </row>
    <row r="513" spans="1:3" ht="15.75" customHeight="1">
      <c r="A513" s="13">
        <v>6</v>
      </c>
      <c r="B513" s="64" t="str">
        <f>HYPERLINK("https://www.promusicals.com/index.php?path=518_556&amp;product_id=2413&amp;route=product/product","Novation FLkey 2 - Mini 25")</f>
        <v>Novation FLkey 2 - Mini 25</v>
      </c>
      <c r="C513" s="63">
        <v>15455</v>
      </c>
    </row>
    <row r="514" spans="1:3" ht="15.75" customHeight="1">
      <c r="A514" s="13">
        <v>7</v>
      </c>
      <c r="B514" s="62" t="str">
        <f>HYPERLINK("https://www.promusicals.com/index.php?path=518_556&amp;product_id=1460&amp;route=product/product","Novation FLkey 37")</f>
        <v>Novation FLkey 37</v>
      </c>
      <c r="C514" s="63">
        <v>26930</v>
      </c>
    </row>
    <row r="515" spans="1:3" ht="15.75" customHeight="1">
      <c r="A515" s="13">
        <v>8</v>
      </c>
      <c r="B515" s="62" t="str">
        <f>HYPERLINK("https://www.promusicals.com/index.php?path=518_556&amp;product_id=1621&amp;route=product/product","Novation FLkey 49")</f>
        <v>Novation FLkey 49</v>
      </c>
      <c r="C515" s="63">
        <v>32085</v>
      </c>
    </row>
    <row r="516" spans="1:3" ht="15.75" customHeight="1">
      <c r="A516" s="13">
        <v>9</v>
      </c>
      <c r="B516" s="47" t="str">
        <f>HYPERLINK("https://www.promusicals.com/index.php?path=518_556&amp;product_id=1622&amp;route=product/product","Novation FLkey 61")</f>
        <v>Novation FLkey 61</v>
      </c>
      <c r="C516" s="48">
        <v>38640</v>
      </c>
    </row>
    <row r="517" spans="1:3" ht="15.75" customHeight="1">
      <c r="A517" s="13">
        <v>10</v>
      </c>
      <c r="B517" s="49" t="str">
        <f>HYPERLINK("https://www.promusicals.com/index.php?path=518_556&amp;product_id=1461&amp;route=product/product","Novation FLkey Mini")</f>
        <v>Novation FLkey Mini</v>
      </c>
      <c r="C517" s="48">
        <v>15455</v>
      </c>
    </row>
    <row r="518" spans="1:3" ht="15.75" customHeight="1">
      <c r="A518" s="13">
        <v>11</v>
      </c>
      <c r="B518" s="47" t="str">
        <f>HYPERLINK("https://www.promusicals.com/index.php?path=518_556&amp;product_id=543&amp;route=product/product","Novation Impulse 25")</f>
        <v>Novation Impulse 25</v>
      </c>
      <c r="C518" s="48">
        <v>25165</v>
      </c>
    </row>
    <row r="519" spans="1:3" ht="15.75" customHeight="1">
      <c r="A519" s="13">
        <v>12</v>
      </c>
      <c r="B519" s="47" t="str">
        <f>HYPERLINK("https://www.promusicals.com/index.php?path=518_556&amp;product_id=860&amp;route=product/product","Novation Launchkey 25 [MK3]")</f>
        <v>Novation Launchkey 25 [MK3]</v>
      </c>
      <c r="C519" s="48">
        <v>20446</v>
      </c>
    </row>
    <row r="520" spans="1:3" ht="15.75" customHeight="1">
      <c r="A520" s="13">
        <v>13</v>
      </c>
      <c r="B520" s="47" t="str">
        <f>HYPERLINK("https://www.promusicals.com/index.php?path=518_556&amp;product_id=1931&amp;route=product/product","Novation Launchkey 25 [MK4]")</f>
        <v>Novation Launchkey 25 [MK4]</v>
      </c>
      <c r="C520" s="48">
        <v>23185</v>
      </c>
    </row>
    <row r="521" spans="1:3" ht="15.75" customHeight="1">
      <c r="A521" s="13">
        <v>14</v>
      </c>
      <c r="B521" s="47" t="str">
        <f>HYPERLINK("https://www.promusicals.com/index.php?path=518_556&amp;product_id=1936&amp;route=product/product","Novation Launchkey 37 [MK4]")</f>
        <v>Novation Launchkey 37 [MK4]</v>
      </c>
      <c r="C521" s="48">
        <v>26930</v>
      </c>
    </row>
    <row r="522" spans="1:3" ht="15.75" customHeight="1">
      <c r="A522" s="13">
        <v>15</v>
      </c>
      <c r="B522" s="49" t="str">
        <f>HYPERLINK("https://www.promusicals.com/index.php?path=518_556&amp;product_id=2074&amp;route=product/product","Novation Launchkey 49 White [MK4]")</f>
        <v>Novation Launchkey 49 White [MK4]</v>
      </c>
      <c r="C522" s="48">
        <v>32085</v>
      </c>
    </row>
    <row r="523" spans="1:3" ht="15.75" customHeight="1">
      <c r="A523" s="13">
        <v>16</v>
      </c>
      <c r="B523" s="47" t="str">
        <f>HYPERLINK("https://www.promusicals.com/index.php?path=518_556&amp;product_id=862&amp;route=product/product","Novation Launchkey 49 [MK3]")</f>
        <v>Novation Launchkey 49 [MK3]</v>
      </c>
      <c r="C523" s="48">
        <v>27702</v>
      </c>
    </row>
    <row r="524" spans="1:3" ht="15.75" customHeight="1">
      <c r="A524" s="13">
        <v>17</v>
      </c>
      <c r="B524" s="47" t="str">
        <f>HYPERLINK("https://www.promusicals.com/index.php?path=518_556&amp;product_id=1935&amp;route=product/product","Novation Launchkey 49 [MK4]")</f>
        <v>Novation Launchkey 49 [MK4]</v>
      </c>
      <c r="C524" s="48">
        <v>32085</v>
      </c>
    </row>
    <row r="525" spans="1:3" ht="15.75" customHeight="1">
      <c r="A525" s="13">
        <v>18</v>
      </c>
      <c r="B525" s="47" t="str">
        <f>HYPERLINK("https://www.promusicals.com/index.php?path=518_556&amp;product_id=2432&amp;route=product/product","Novation Launchkey 61 White [MK4]")</f>
        <v>Novation Launchkey 61 White [MK4]</v>
      </c>
      <c r="C525" s="48">
        <v>38640</v>
      </c>
    </row>
    <row r="526" spans="1:3" ht="15.75" customHeight="1">
      <c r="A526" s="13">
        <v>19</v>
      </c>
      <c r="B526" s="47" t="str">
        <f>HYPERLINK("https://www.promusicals.com/index.php?path=518_556&amp;product_id=1938&amp;route=product/product","Novation Launchkey 61 [MK4]")</f>
        <v>Novation Launchkey 61 [MK4]</v>
      </c>
      <c r="C526" s="48">
        <v>38640</v>
      </c>
    </row>
    <row r="527" spans="1:3" ht="15.75" customHeight="1">
      <c r="A527" s="13">
        <v>20</v>
      </c>
      <c r="B527" s="47" t="str">
        <f>HYPERLINK("https://www.promusicals.com/index.php?path=518_556&amp;product_id=1471&amp;route=product/product","Novation Launchkey 88")</f>
        <v>Novation Launchkey 88</v>
      </c>
      <c r="C527" s="48">
        <v>50550</v>
      </c>
    </row>
    <row r="528" spans="1:3" ht="15.75" customHeight="1">
      <c r="A528" s="13">
        <v>21</v>
      </c>
      <c r="B528" s="47" t="str">
        <f>HYPERLINK("https://www.promusicals.com/index.php?path=518_556&amp;product_id=2461&amp;route=product/product","Novation Launchkey 88 [MK4]")</f>
        <v>Novation Launchkey 88 [MK4]</v>
      </c>
      <c r="C528" s="48">
        <v>55300</v>
      </c>
    </row>
    <row r="529" spans="1:3" ht="15.75" customHeight="1">
      <c r="A529" s="13">
        <v>22</v>
      </c>
      <c r="B529" s="47" t="str">
        <f>HYPERLINK("https://www.promusicals.com/index.php?path=518_556&amp;product_id=1933&amp;route=product/product","Novation Launchkey Mini 25 [MK4]")</f>
        <v>Novation Launchkey Mini 25 [MK4]</v>
      </c>
      <c r="C529" s="48">
        <v>15455</v>
      </c>
    </row>
    <row r="530" spans="1:3" ht="15.75" customHeight="1">
      <c r="A530" s="13">
        <v>23</v>
      </c>
      <c r="B530" s="47" t="str">
        <f>HYPERLINK("https://www.promusicals.com/index.php?path=518_556&amp;product_id=2073&amp;route=product/product","Novation Launchkey Mini 37 White [MK4]")</f>
        <v>Novation Launchkey Mini 37 White [MK4]</v>
      </c>
      <c r="C530" s="48">
        <v>19205</v>
      </c>
    </row>
    <row r="531" spans="1:3" ht="15.75" customHeight="1">
      <c r="A531" s="13">
        <v>24</v>
      </c>
      <c r="B531" s="47" t="str">
        <f>HYPERLINK("https://www.promusicals.com/index.php?path=518_556&amp;product_id=1934&amp;route=product/product","Novation Launchkey Mini 37 [MK4]")</f>
        <v>Novation Launchkey Mini 37 [MK4]</v>
      </c>
      <c r="C531" s="48">
        <v>19205</v>
      </c>
    </row>
    <row r="532" spans="1:3" ht="15.75" customHeight="1">
      <c r="A532" s="13">
        <v>25</v>
      </c>
      <c r="B532" s="47" t="str">
        <f>HYPERLINK("https://www.promusicals.com/index.php?path=518_556&amp;product_id=606&amp;route=product/product","Novation Launchkey Mini [MK3]")</f>
        <v>Novation Launchkey Mini [MK3]</v>
      </c>
      <c r="C532" s="48">
        <v>13190</v>
      </c>
    </row>
    <row r="533" spans="1:3" ht="15.75" customHeight="1">
      <c r="A533" s="13">
        <v>26</v>
      </c>
      <c r="B533" s="47" t="str">
        <f>HYPERLINK("https://www.promusicals.com/index.php?path=518_556&amp;product_id=544&amp;route=product/product","Novation Impulse 49")</f>
        <v>Novation Impulse 49</v>
      </c>
      <c r="C533" s="48">
        <v>37200</v>
      </c>
    </row>
    <row r="534" spans="1:3" ht="15.75" customHeight="1">
      <c r="A534" s="13">
        <v>27</v>
      </c>
      <c r="B534" s="47" t="str">
        <f>HYPERLINK("https://www.promusicals.com/index.php?path=515_588&amp;product_id=2305&amp;route=product/product","Novation Launchcontrol 3")</f>
        <v>Novation Launchcontrol 3</v>
      </c>
      <c r="C534" s="48">
        <v>19440</v>
      </c>
    </row>
    <row r="535" spans="1:3" ht="15.75" customHeight="1">
      <c r="A535" s="13">
        <v>28</v>
      </c>
      <c r="B535" s="47" t="str">
        <f>HYPERLINK("https://www.promusicals.com/index.php?path=515_588&amp;product_id=314&amp;route=product/product","Novation Launchcontrol XL")</f>
        <v>Novation Launchcontrol XL</v>
      </c>
      <c r="C535" s="48">
        <v>19346</v>
      </c>
    </row>
    <row r="536" spans="1:3" ht="15.75" customHeight="1">
      <c r="A536" s="13">
        <v>29</v>
      </c>
      <c r="B536" s="47" t="str">
        <f>HYPERLINK("https://www.promusicals.com/index.php?path=515_588&amp;product_id=2072&amp;route=product/product","Novation Launchcontrol XL MK3")</f>
        <v>Novation Launchcontrol XL MK3</v>
      </c>
      <c r="C536" s="48">
        <v>25760</v>
      </c>
    </row>
    <row r="537" spans="1:3" ht="15.75" customHeight="1">
      <c r="A537" s="13">
        <v>30</v>
      </c>
      <c r="B537" s="47" t="str">
        <f>HYPERLINK("https://www.promusicals.com/index.php?path=515_588&amp;product_id=661&amp;route=product/product","Novation Launchpad Mini MkIII")</f>
        <v>Novation Launchpad Mini MkIII</v>
      </c>
      <c r="C537" s="48">
        <v>14050</v>
      </c>
    </row>
    <row r="538" spans="1:3" ht="15.75" customHeight="1">
      <c r="A538" s="13">
        <v>31</v>
      </c>
      <c r="B538" s="47" t="str">
        <f>HYPERLINK("https://www.promusicals.com/index.php?path=515_588&amp;product_id=753&amp;route=product/product","Novation Launchpad Pro MkIII")</f>
        <v>Novation Launchpad Pro MkIII</v>
      </c>
      <c r="C538" s="48">
        <v>44965</v>
      </c>
    </row>
    <row r="539" spans="1:3" ht="15.75" customHeight="1">
      <c r="A539" s="13">
        <v>32</v>
      </c>
      <c r="B539" s="47" t="str">
        <f>HYPERLINK("https://www.promusicals.com/index.php?path=515_588&amp;product_id=660&amp;route=product/product","Novation Launchpad X")</f>
        <v>Novation Launchpad X</v>
      </c>
      <c r="C539" s="48">
        <v>25760</v>
      </c>
    </row>
    <row r="540" spans="1:3" ht="15.75" customHeight="1"/>
    <row r="541" spans="1:3" ht="15.75" customHeight="1">
      <c r="A541" s="66" t="s">
        <v>481</v>
      </c>
      <c r="B541" s="67"/>
      <c r="C541" s="68"/>
    </row>
    <row r="542" spans="1:3" ht="15.75" customHeight="1"/>
    <row r="543" spans="1:3" ht="15.75" customHeight="1">
      <c r="A543" s="46" t="s">
        <v>6</v>
      </c>
      <c r="B543" s="46" t="s">
        <v>7</v>
      </c>
      <c r="C543" s="46" t="s">
        <v>11</v>
      </c>
    </row>
    <row r="544" spans="1:3" ht="15.75" customHeight="1">
      <c r="A544" s="13">
        <v>1</v>
      </c>
      <c r="B544" s="62" t="str">
        <f>HYPERLINK("https://www.promusicals.com/index.php?path=518_556&amp;product_id=2252&amp;route=product/product","Artist 25 X")</f>
        <v>Artist 25 X</v>
      </c>
      <c r="C544" s="63">
        <v>8985</v>
      </c>
    </row>
    <row r="545" spans="1:3" ht="15.75" customHeight="1">
      <c r="A545" s="13">
        <v>2</v>
      </c>
      <c r="B545" s="62" t="str">
        <f>HYPERLINK("https://www.promusicals.com/index.php?path=518_556&amp;product_id=2253&amp;route=product/product","Artist 37 X")</f>
        <v>Artist 37 X</v>
      </c>
      <c r="C545" s="63">
        <v>10600</v>
      </c>
    </row>
    <row r="546" spans="1:3" ht="15.75" customHeight="1">
      <c r="A546" s="13">
        <v>3</v>
      </c>
      <c r="B546" s="62" t="str">
        <f>HYPERLINK("https://www.promusicals.com/index.php?path=518_556&amp;product_id=2254&amp;route=product/product","Artist 49 X")</f>
        <v>Artist 49 X</v>
      </c>
      <c r="C546" s="63">
        <v>12430</v>
      </c>
    </row>
    <row r="547" spans="1:3" ht="15.75" customHeight="1">
      <c r="A547" s="13">
        <v>4</v>
      </c>
      <c r="B547" s="62" t="str">
        <f>HYPERLINK("https://www.promusicals.com/index.php?path=518_556&amp;product_id=2255&amp;route=product/product","Artist 61 X")</f>
        <v>Artist 61 X</v>
      </c>
      <c r="C547" s="63">
        <v>14045</v>
      </c>
    </row>
    <row r="548" spans="1:3" ht="15.75" customHeight="1">
      <c r="A548" s="13">
        <v>5</v>
      </c>
      <c r="B548" s="62" t="str">
        <f>HYPERLINK("https://www.promusicals.com/index.php?path=518_556&amp;product_id=2256&amp;route=product/product","Artist 88 X")</f>
        <v>Artist 88 X</v>
      </c>
      <c r="C548" s="63">
        <v>17465</v>
      </c>
    </row>
    <row r="549" spans="1:3" ht="15.75" customHeight="1">
      <c r="A549" s="13"/>
      <c r="B549" s="50"/>
      <c r="C549" s="48"/>
    </row>
    <row r="550" spans="1:3" ht="15.75" customHeight="1">
      <c r="A550" s="66" t="s">
        <v>482</v>
      </c>
      <c r="B550" s="67"/>
      <c r="C550" s="68"/>
    </row>
    <row r="551" spans="1:3" ht="15.75" customHeight="1">
      <c r="A551" s="46" t="s">
        <v>6</v>
      </c>
      <c r="B551" s="46" t="s">
        <v>7</v>
      </c>
      <c r="C551" s="46" t="s">
        <v>11</v>
      </c>
    </row>
    <row r="552" spans="1:3" ht="15.75" customHeight="1">
      <c r="A552" s="28">
        <v>1</v>
      </c>
      <c r="B552" s="65" t="s">
        <v>483</v>
      </c>
      <c r="C552" s="58">
        <v>90650</v>
      </c>
    </row>
    <row r="553" spans="1:3" ht="15.75" customHeight="1">
      <c r="A553" s="28">
        <v>2</v>
      </c>
      <c r="B553" s="65" t="s">
        <v>484</v>
      </c>
      <c r="C553" s="58">
        <v>118580</v>
      </c>
    </row>
    <row r="554" spans="1:3" ht="15.75" customHeight="1">
      <c r="A554" s="28">
        <v>3</v>
      </c>
      <c r="B554" s="65" t="s">
        <v>485</v>
      </c>
      <c r="C554" s="58">
        <v>181440</v>
      </c>
    </row>
    <row r="555" spans="1:3" ht="15.75" customHeight="1">
      <c r="A555" s="28">
        <v>4</v>
      </c>
      <c r="B555" s="65" t="s">
        <v>486</v>
      </c>
      <c r="C555" s="58">
        <v>20810</v>
      </c>
    </row>
    <row r="556" spans="1:3" ht="15.75" customHeight="1">
      <c r="A556" s="28">
        <v>5</v>
      </c>
      <c r="B556" s="65" t="s">
        <v>487</v>
      </c>
      <c r="C556" s="58">
        <v>27795</v>
      </c>
    </row>
    <row r="557" spans="1:3" ht="15.75" customHeight="1">
      <c r="A557" s="28">
        <v>6</v>
      </c>
      <c r="B557" s="65" t="s">
        <v>488</v>
      </c>
      <c r="C557" s="58">
        <v>34780</v>
      </c>
    </row>
    <row r="558" spans="1:3" ht="15.75" customHeight="1">
      <c r="A558" s="28">
        <v>7</v>
      </c>
      <c r="B558" s="65" t="s">
        <v>489</v>
      </c>
      <c r="C558" s="58">
        <v>163440</v>
      </c>
    </row>
    <row r="559" spans="1:3" ht="15.75" customHeight="1">
      <c r="A559" s="28">
        <v>8</v>
      </c>
      <c r="B559" s="65" t="s">
        <v>490</v>
      </c>
      <c r="C559" s="58">
        <v>18020</v>
      </c>
    </row>
    <row r="560" spans="1:3" ht="15.75" customHeight="1">
      <c r="A560" s="28">
        <v>10</v>
      </c>
      <c r="B560" s="51" t="s">
        <v>491</v>
      </c>
      <c r="C560" s="30">
        <v>37570</v>
      </c>
    </row>
    <row r="561" spans="1:3" ht="15.75" customHeight="1">
      <c r="A561" s="28">
        <v>11</v>
      </c>
      <c r="B561" s="51" t="s">
        <v>492</v>
      </c>
      <c r="C561" s="30">
        <v>69700</v>
      </c>
    </row>
    <row r="562" spans="1:3" ht="15.75" customHeight="1">
      <c r="A562" s="28">
        <v>12</v>
      </c>
      <c r="B562" s="51" t="s">
        <v>493</v>
      </c>
      <c r="C562" s="30">
        <v>139535</v>
      </c>
    </row>
    <row r="563" spans="1:3" ht="15.75" customHeight="1">
      <c r="B563" s="51"/>
      <c r="C563" s="30"/>
    </row>
    <row r="564" spans="1:3" ht="15.75" customHeight="1">
      <c r="A564" s="69" t="s">
        <v>379</v>
      </c>
      <c r="B564" s="67"/>
      <c r="C564" s="68"/>
    </row>
    <row r="565" spans="1:3" ht="15.75" customHeight="1"/>
    <row r="566" spans="1:3" ht="15.75" customHeight="1">
      <c r="A566" s="66" t="s">
        <v>494</v>
      </c>
      <c r="B566" s="67"/>
      <c r="C566" s="68"/>
    </row>
    <row r="567" spans="1:3" ht="15.75" customHeight="1"/>
    <row r="568" spans="1:3" ht="15.75" customHeight="1">
      <c r="A568" s="52" t="s">
        <v>6</v>
      </c>
      <c r="B568" s="52" t="s">
        <v>7</v>
      </c>
      <c r="C568" s="52" t="s">
        <v>11</v>
      </c>
    </row>
    <row r="569" spans="1:3" ht="15.75" customHeight="1">
      <c r="A569" s="13">
        <v>1</v>
      </c>
      <c r="B569" s="62" t="str">
        <f>HYPERLINK("https://www.promusicals.com/index.php?manufacturer_id=124&amp;product_id=1641&amp;route=product/product","EFNOTE 3 Electronic Drum Set - White Sparkle")</f>
        <v>EFNOTE 3 Electronic Drum Set - White Sparkle</v>
      </c>
      <c r="C569" s="63">
        <v>216130</v>
      </c>
    </row>
    <row r="570" spans="1:3" ht="15.75" customHeight="1">
      <c r="A570" s="13">
        <v>2</v>
      </c>
      <c r="B570" s="62" t="str">
        <f>HYPERLINK("https://www.promusicals.com/index.php?manufacturer_id=124&amp;product_id=2220&amp;route=product/product","EFNOTE 3 Style-A E-Drum Kit")</f>
        <v>EFNOTE 3 Style-A E-Drum Kit</v>
      </c>
      <c r="C570" s="63">
        <v>212510</v>
      </c>
    </row>
    <row r="571" spans="1:3" ht="15.75" customHeight="1">
      <c r="A571" s="13">
        <v>3</v>
      </c>
      <c r="B571" s="62" t="str">
        <f>HYPERLINK("https://www.promusicals.com/index.php?manufacturer_id=124&amp;product_id=2024&amp;route=product/product","EFNOTE 3 Style-B E-Drum Kit")</f>
        <v>EFNOTE 3 Style-B E-Drum Kit</v>
      </c>
      <c r="C571" s="63">
        <v>236921</v>
      </c>
    </row>
    <row r="572" spans="1:3" ht="15.75" customHeight="1">
      <c r="A572" s="13">
        <v>4</v>
      </c>
      <c r="B572" s="64" t="str">
        <f>HYPERLINK("https://www.promusicals.com/index.php?manufacturer_id=124&amp;product_id=1614&amp;route=product/product","EFNOTE 3X Standard Set (Black Oak)")</f>
        <v>EFNOTE 3X Standard Set (Black Oak)</v>
      </c>
      <c r="C572" s="63">
        <v>288216</v>
      </c>
    </row>
    <row r="573" spans="1:3" ht="15.75" customHeight="1">
      <c r="A573" s="13">
        <v>5</v>
      </c>
      <c r="B573" s="62" t="str">
        <f>HYPERLINK("https://www.promusicals.com/index.php?manufacturer_id=124&amp;product_id=1612&amp;route=product/product","EFNOTE 5 With Hardware Set")</f>
        <v>EFNOTE 5 With Hardware Set</v>
      </c>
      <c r="C573" s="63">
        <v>322300</v>
      </c>
    </row>
    <row r="574" spans="1:3" ht="15.75" customHeight="1">
      <c r="A574" s="13">
        <v>6</v>
      </c>
      <c r="B574" s="62" t="str">
        <f>HYPERLINK("https://www.promusicals.com/index.php?manufacturer_id=124&amp;product_id=1643&amp;route=product/product","EFNOTE 5X Electronic Drum Set - Black Oak / Hardware Set")</f>
        <v>EFNOTE 5X Electronic Drum Set - Black Oak / Hardware Set</v>
      </c>
      <c r="C574" s="63">
        <v>430345</v>
      </c>
    </row>
    <row r="575" spans="1:3" ht="15.75" customHeight="1">
      <c r="A575" s="13">
        <v>7</v>
      </c>
      <c r="B575" s="62" t="str">
        <f>HYPERLINK("https://www.promusicals.com/index.php?manufacturer_id=124&amp;product_id=1613&amp;route=product/product","EFNOTE 7 With Hardware Set")</f>
        <v>EFNOTE 7 With Hardware Set</v>
      </c>
      <c r="C575" s="63">
        <v>422370</v>
      </c>
    </row>
    <row r="576" spans="1:3" ht="15.75" customHeight="1">
      <c r="A576" s="13">
        <v>8</v>
      </c>
      <c r="B576" s="62" t="str">
        <f>HYPERLINK("https://www.promusicals.com/index.php?manufacturer_id=124&amp;product_id=1644&amp;route=product/product","EFNOTE 7X Electronic Drum Set - Black Oak / Hardware Set")</f>
        <v>EFNOTE 7X Electronic Drum Set - Black Oak / Hardware Set</v>
      </c>
      <c r="C576" s="63">
        <v>555388</v>
      </c>
    </row>
    <row r="577" spans="1:3" ht="15.75" customHeight="1">
      <c r="A577" s="13">
        <v>9</v>
      </c>
      <c r="B577" s="47" t="str">
        <f>HYPERLINK("https://www.promusicals.com/index.php?manufacturer_id=124&amp;product_id=1824&amp;route=product/product","EFNOTE Mini - The Cutest EFNOTE")</f>
        <v>EFNOTE Mini - The Cutest EFNOTE</v>
      </c>
      <c r="C577" s="48">
        <v>260866</v>
      </c>
    </row>
    <row r="578" spans="1:3" ht="15.75" customHeight="1">
      <c r="A578" s="13">
        <v>10</v>
      </c>
      <c r="B578" s="47" t="str">
        <f>HYPERLINK("https://www.promusicals.com/index.php?manufacturer_id=124&amp;product_id=1735&amp;route=product/product","EFNOTE PRO 500 Series Standard Set")</f>
        <v>EFNOTE PRO 500 Series Standard Set</v>
      </c>
      <c r="C578" s="48">
        <v>494890</v>
      </c>
    </row>
    <row r="579" spans="1:3" ht="15.75" customHeight="1">
      <c r="A579" s="13">
        <v>11</v>
      </c>
      <c r="B579" s="47" t="str">
        <f>HYPERLINK("https://www.promusicals.com/index.php?manufacturer_id=124&amp;product_id=1738&amp;route=product/product","EFNOTE PRO 500 Standard Set (w/ Hardware Set)")</f>
        <v>EFNOTE PRO 500 Standard Set (w/ Hardware Set)</v>
      </c>
      <c r="C579" s="48">
        <v>494850</v>
      </c>
    </row>
    <row r="580" spans="1:3" ht="15.75" customHeight="1">
      <c r="A580" s="13">
        <v>12</v>
      </c>
      <c r="B580" s="47" t="str">
        <f>HYPERLINK("https://www.promusicals.com/index.php?manufacturer_id=124&amp;product_id=2077&amp;route=product/product","EFNOTE PRO 500X")</f>
        <v>EFNOTE PRO 500X</v>
      </c>
      <c r="C580" s="48">
        <v>600440</v>
      </c>
    </row>
    <row r="581" spans="1:3" ht="15.75" customHeight="1">
      <c r="A581" s="13">
        <v>13</v>
      </c>
      <c r="B581" s="47" t="str">
        <f>HYPERLINK("https://www.promusicals.com/index.php?manufacturer_id=124&amp;product_id=1739&amp;route=product/product","EFNOTE PRO 501 Traditional Set")</f>
        <v>EFNOTE PRO 501 Traditional Set</v>
      </c>
      <c r="C581" s="48">
        <v>585320</v>
      </c>
    </row>
    <row r="582" spans="1:3" ht="15.75" customHeight="1">
      <c r="A582" s="13">
        <v>14</v>
      </c>
      <c r="B582" s="47" t="str">
        <f>HYPERLINK("https://www.promusicals.com/index.php?manufacturer_id=124&amp;product_id=1740&amp;route=product/product","EFNOTE PRO 502 Modern Set")</f>
        <v>EFNOTE PRO 502 Modern Set</v>
      </c>
      <c r="C582" s="48">
        <v>604280</v>
      </c>
    </row>
    <row r="583" spans="1:3" ht="15.75" customHeight="1">
      <c r="A583" s="13">
        <v>15</v>
      </c>
      <c r="B583" s="47" t="str">
        <f>HYPERLINK("https://www.promusicals.com/index.php?manufacturer_id=124&amp;product_id=1741&amp;route=product/product","EFNOTE PRO 503 Power Set")</f>
        <v>EFNOTE PRO 503 Power Set</v>
      </c>
      <c r="C583" s="48">
        <v>650595</v>
      </c>
    </row>
    <row r="584" spans="1:3" ht="15.75" customHeight="1">
      <c r="A584" s="13">
        <v>16</v>
      </c>
      <c r="B584" s="47" t="str">
        <f>HYPERLINK("https://www.promusicals.com/index.php?manufacturer_id=124&amp;product_id=1742&amp;route=product/product","EFNOTE PRO 504 Technical Set")</f>
        <v>EFNOTE PRO 504 Technical Set</v>
      </c>
      <c r="C584" s="48">
        <v>694755</v>
      </c>
    </row>
    <row r="585" spans="1:3" ht="15.75" customHeight="1">
      <c r="A585" s="13">
        <v>17</v>
      </c>
      <c r="B585" s="47" t="str">
        <f>HYPERLINK("https://www.promusicals.com/index.php?manufacturer_id=124&amp;product_id=1743&amp;route=product/product","EFNOTE PRO 505 Heavy Set")</f>
        <v>EFNOTE PRO 505 Heavy Set</v>
      </c>
      <c r="C585" s="48">
        <v>741310</v>
      </c>
    </row>
    <row r="586" spans="1:3" ht="15.75" customHeight="1">
      <c r="A586" s="13">
        <v>18</v>
      </c>
      <c r="B586" s="47" t="str">
        <f>HYPERLINK("https://www.promusicals.com/index.php?manufacturer_id=124&amp;product_id=1744&amp;route=product/product","EFNOTE PRO 506 Progressive Set")</f>
        <v>EFNOTE PRO 506 Progressive Set</v>
      </c>
      <c r="C586" s="48">
        <v>760030</v>
      </c>
    </row>
    <row r="587" spans="1:3" ht="15.75" customHeight="1">
      <c r="A587" s="13">
        <v>19</v>
      </c>
      <c r="B587" s="47" t="str">
        <f>HYPERLINK("https://www.promusicals.com/index.php?manufacturer_id=124&amp;product_id=1745&amp;route=product/product","EFNOTE PRO 507 Complete Set")</f>
        <v>EFNOTE PRO 507 Complete Set</v>
      </c>
      <c r="C587" s="48">
        <v>850745</v>
      </c>
    </row>
    <row r="588" spans="1:3" ht="15.75" customHeight="1">
      <c r="A588" s="13">
        <v>20</v>
      </c>
      <c r="B588" s="47" t="str">
        <f>HYPERLINK("https://www.promusicals.com/index.php?manufacturer_id=124&amp;product_id=1746&amp;route=product/product","EFNOTE PRO 700 Series Standard Set")</f>
        <v>EFNOTE PRO 700 Series Standard Set</v>
      </c>
      <c r="C588" s="48">
        <v>590360</v>
      </c>
    </row>
    <row r="589" spans="1:3" ht="15.75" customHeight="1">
      <c r="A589" s="13">
        <v>21</v>
      </c>
      <c r="B589" s="47" t="str">
        <f>HYPERLINK("https://www.promusicals.com/index.php?manufacturer_id=124&amp;product_id=1747&amp;route=product/product","EFNOTE PRO 700 Standard Set (w/ Hardware Set)")</f>
        <v>EFNOTE PRO 700 Standard Set (w/ Hardware Set)</v>
      </c>
      <c r="C589" s="48">
        <v>624440</v>
      </c>
    </row>
    <row r="590" spans="1:3" ht="15.75" customHeight="1">
      <c r="A590" s="13">
        <v>22</v>
      </c>
      <c r="B590" s="47" t="str">
        <f>HYPERLINK("https://www.promusicals.com/index.php?manufacturer_id=124&amp;product_id=1748&amp;route=product/product","EFNOTE PRO 701 Traditional Set")</f>
        <v>EFNOTE PRO 701 Traditional Set</v>
      </c>
      <c r="C590" s="48">
        <v>714190</v>
      </c>
    </row>
    <row r="591" spans="1:3" ht="15.75" customHeight="1">
      <c r="A591" s="13">
        <v>23</v>
      </c>
      <c r="B591" s="47" t="str">
        <f>HYPERLINK("https://www.promusicals.com/index.php?manufacturer_id=124&amp;product_id=1749&amp;route=product/product","EFNOTE PRO 702 Modern Set")</f>
        <v>EFNOTE PRO 702 Modern Set</v>
      </c>
      <c r="C591" s="48">
        <v>733870</v>
      </c>
    </row>
    <row r="592" spans="1:3" ht="15.75" customHeight="1">
      <c r="A592" s="13">
        <v>24</v>
      </c>
      <c r="B592" s="47" t="str">
        <f>HYPERLINK("https://www.promusicals.com/index.php?manufacturer_id=124&amp;product_id=1750&amp;route=product/product","EFNOTE PRO 703 Power Set")</f>
        <v>EFNOTE PRO 703 Power Set</v>
      </c>
      <c r="C592" s="48">
        <v>780190</v>
      </c>
    </row>
    <row r="593" spans="1:3" ht="15.75" customHeight="1">
      <c r="A593" s="13">
        <v>25</v>
      </c>
      <c r="B593" s="47" t="str">
        <f>HYPERLINK("https://www.promusicals.com/index.php?manufacturer_id=124&amp;product_id=1751&amp;route=product/product","EFNOTE PRO 704 Technical Set")</f>
        <v>EFNOTE PRO 704 Technical Set</v>
      </c>
      <c r="C593" s="48">
        <v>823625</v>
      </c>
    </row>
    <row r="594" spans="1:3" ht="15.75" customHeight="1">
      <c r="A594" s="13">
        <v>26</v>
      </c>
      <c r="B594" s="47" t="str">
        <f>HYPERLINK("https://www.promusicals.com/index.php?manufacturer_id=124&amp;product_id=1752&amp;route=product/product","EFNOTE PRO 705 Heavy Set")</f>
        <v>EFNOTE PRO 705 Heavy Set</v>
      </c>
      <c r="C594" s="48">
        <v>869940</v>
      </c>
    </row>
    <row r="595" spans="1:3" ht="15.75" customHeight="1">
      <c r="A595" s="13">
        <v>27</v>
      </c>
      <c r="B595" s="47" t="str">
        <f>HYPERLINK("https://www.promusicals.com/index.php?manufacturer_id=124&amp;product_id=1753&amp;route=product/product","EFNOTE PRO 706 Progressive Set")</f>
        <v>EFNOTE PRO 706 Progressive Set</v>
      </c>
      <c r="C595" s="48">
        <v>889620</v>
      </c>
    </row>
    <row r="596" spans="1:3" ht="15.75" customHeight="1">
      <c r="A596" s="13">
        <v>28</v>
      </c>
      <c r="B596" s="47" t="str">
        <f>HYPERLINK("https://www.promusicals.com/index.php?manufacturer_id=124&amp;product_id=1754&amp;route=product/product","EFNOTE PRO 707 Complete Set")</f>
        <v>EFNOTE PRO 707 Complete Set</v>
      </c>
      <c r="C596" s="48">
        <v>979375</v>
      </c>
    </row>
    <row r="597" spans="1:3" ht="15.75" customHeight="1">
      <c r="A597" s="13"/>
      <c r="B597" s="50"/>
      <c r="C597" s="48"/>
    </row>
    <row r="598" spans="1:3" ht="15.75" customHeight="1">
      <c r="A598" s="66" t="s">
        <v>495</v>
      </c>
      <c r="B598" s="67"/>
      <c r="C598" s="68"/>
    </row>
    <row r="599" spans="1:3" ht="15.75" customHeight="1">
      <c r="A599" s="13"/>
      <c r="B599" s="50"/>
      <c r="C599" s="48"/>
    </row>
    <row r="600" spans="1:3" ht="15.75" customHeight="1">
      <c r="A600" s="46" t="s">
        <v>6</v>
      </c>
      <c r="B600" s="46" t="s">
        <v>7</v>
      </c>
      <c r="C600" s="46" t="s">
        <v>11</v>
      </c>
    </row>
    <row r="601" spans="1:3" ht="15.75" customHeight="1">
      <c r="A601" s="13">
        <v>1</v>
      </c>
      <c r="B601" s="62" t="str">
        <f>HYPERLINK("https://www.promusicals.com/index.php?product_id=2003&amp;route=product/product","Lemon drum B55")</f>
        <v>Lemon drum B55</v>
      </c>
      <c r="C601" s="63">
        <v>101950</v>
      </c>
    </row>
    <row r="602" spans="1:3" ht="15.75" customHeight="1">
      <c r="A602" s="13">
        <v>2</v>
      </c>
      <c r="B602" s="62" t="str">
        <f>HYPERLINK("https://www.promusicals.com/index.php?manufacturer_id=125&amp;product_id=1620&amp;route=product/product","Lemon Drums T-300SE Pro 8-piece electronic drum set")</f>
        <v>Lemon Drums T-300SE Pro 8-piece electronic drum set</v>
      </c>
      <c r="C602" s="63">
        <v>52800</v>
      </c>
    </row>
    <row r="603" spans="1:3" ht="15.75" customHeight="1">
      <c r="A603" s="13">
        <v>3</v>
      </c>
      <c r="B603" s="62" t="str">
        <f>HYPERLINK("https://www.promusicals.com/index.php?manufacturer_id=125&amp;product_id=1986&amp;route=product/product","Lemon Drums T-505 9-Piece Electronic Drum Kit")</f>
        <v>Lemon Drums T-505 9-Piece Electronic Drum Kit</v>
      </c>
      <c r="C603" s="63">
        <v>62640</v>
      </c>
    </row>
    <row r="604" spans="1:3" ht="15.75" customHeight="1">
      <c r="A604" s="13">
        <v>4</v>
      </c>
      <c r="B604" s="62" t="str">
        <f>HYPERLINK("https://www.promusicals.com/index.php?manufacturer_id=125&amp;product_id=1987&amp;route=product/product","Lemon Drums T-580 9-piece Electronic Drum Set")</f>
        <v>Lemon Drums T-580 9-piece Electronic Drum Set</v>
      </c>
      <c r="C604" s="63">
        <v>85295</v>
      </c>
    </row>
    <row r="605" spans="1:3" ht="15.75" customHeight="1">
      <c r="A605" s="13">
        <v>5</v>
      </c>
      <c r="B605" s="62" t="str">
        <f>HYPERLINK("https://www.promusicals.com/index.php?product_id=2156&amp;route=product/product","Lemon Drums T-580 Pro 9-piece Electronic Drum Set")</f>
        <v>Lemon Drums T-580 Pro 9-piece Electronic Drum Set</v>
      </c>
      <c r="C605" s="63">
        <v>95415</v>
      </c>
    </row>
    <row r="606" spans="1:3" ht="15.75" customHeight="1">
      <c r="A606" s="13">
        <v>6</v>
      </c>
      <c r="B606" s="62" t="str">
        <f>HYPERLINK("https://www.promusicals.com/index.php?manufacturer_id=125&amp;product_id=1689&amp;route=product/product","Lemon Drums T-750 9-Piece Electronic Drum Kit")</f>
        <v>Lemon Drums T-750 9-Piece Electronic Drum Kit</v>
      </c>
      <c r="C606" s="63">
        <v>116640</v>
      </c>
    </row>
    <row r="607" spans="1:3" ht="15.75" customHeight="1">
      <c r="A607" s="13">
        <v>7</v>
      </c>
      <c r="B607" s="62" t="str">
        <f>HYPERLINK("https://www.promusicals.com/index.php?manufacturer_id=125&amp;product_id=1690&amp;route=product/product","Lemon Drums T-850 - 9 Piece Electronic Drum Kit")</f>
        <v>Lemon Drums T-850 - 9 Piece Electronic Drum Kit</v>
      </c>
      <c r="C607" s="63">
        <v>149710</v>
      </c>
    </row>
    <row r="608" spans="1:3" ht="15.75" customHeight="1">
      <c r="A608" s="13">
        <v>8</v>
      </c>
      <c r="B608" s="62" t="str">
        <f>HYPERLINK("https://www.promusicals.com/index.php?manufacturer_id=125&amp;product_id=1618&amp;route=product/product","Lemon Drums T-950 BK - 9 Piece Electronic Drum Kit")</f>
        <v>Lemon Drums T-950 BK - 9 Piece Electronic Drum Kit</v>
      </c>
      <c r="C608" s="63">
        <v>158800</v>
      </c>
    </row>
    <row r="609" spans="1:3" ht="15.75" customHeight="1">
      <c r="A609" s="13">
        <v>9</v>
      </c>
      <c r="B609" s="47" t="str">
        <f>HYPERLINK("https://www.promusicals.com/index.php?manufacturer_id=125&amp;product_id=1786&amp;route=product/product","Lemon Drums T-950 DWG - 9 Piece Electronic Drum Kit")</f>
        <v>Lemon Drums T-950 DWG - 9 Piece Electronic Drum Kit</v>
      </c>
      <c r="C609" s="48">
        <v>158800</v>
      </c>
    </row>
    <row r="610" spans="1:3" ht="15.75" customHeight="1">
      <c r="A610" s="13"/>
      <c r="B610" s="50"/>
      <c r="C610" s="48"/>
    </row>
    <row r="611" spans="1:3" ht="15.75" customHeight="1">
      <c r="A611" s="13"/>
      <c r="B611" s="50"/>
      <c r="C611" s="48"/>
    </row>
    <row r="612" spans="1:3" ht="15.75" customHeight="1">
      <c r="A612" s="13"/>
      <c r="B612" s="50"/>
      <c r="C612" s="48"/>
    </row>
    <row r="613" spans="1:3" ht="15.75" customHeight="1">
      <c r="A613" s="69" t="s">
        <v>496</v>
      </c>
      <c r="B613" s="67"/>
      <c r="C613" s="68"/>
    </row>
    <row r="614" spans="1:3" ht="15.75" customHeight="1">
      <c r="A614" s="66" t="s">
        <v>497</v>
      </c>
      <c r="B614" s="67"/>
      <c r="C614" s="68"/>
    </row>
    <row r="615" spans="1:3" ht="15.75" customHeight="1">
      <c r="A615" s="6" t="s">
        <v>6</v>
      </c>
      <c r="B615" s="6" t="s">
        <v>7</v>
      </c>
      <c r="C615" s="6" t="s">
        <v>11</v>
      </c>
    </row>
    <row r="616" spans="1:3" ht="15.75" customHeight="1">
      <c r="A616" s="28">
        <v>1</v>
      </c>
      <c r="B616" s="65" t="s">
        <v>498</v>
      </c>
      <c r="C616" s="58">
        <v>25000</v>
      </c>
    </row>
    <row r="617" spans="1:3" ht="15.75" customHeight="1">
      <c r="A617" s="28">
        <v>2</v>
      </c>
      <c r="B617" s="65" t="s">
        <v>499</v>
      </c>
      <c r="C617" s="58">
        <v>25000</v>
      </c>
    </row>
    <row r="618" spans="1:3" ht="15.75" customHeight="1">
      <c r="A618" s="28">
        <v>3</v>
      </c>
      <c r="B618" s="65" t="s">
        <v>500</v>
      </c>
      <c r="C618" s="58">
        <v>25000</v>
      </c>
    </row>
    <row r="619" spans="1:3" ht="15.75" customHeight="1">
      <c r="A619" s="13"/>
      <c r="B619" s="50"/>
      <c r="C619" s="48"/>
    </row>
    <row r="620" spans="1:3" ht="15.75" customHeight="1">
      <c r="A620" s="66" t="s">
        <v>501</v>
      </c>
      <c r="B620" s="67"/>
      <c r="C620" s="68"/>
    </row>
    <row r="621" spans="1:3" ht="15.75" customHeight="1">
      <c r="A621" s="6" t="s">
        <v>6</v>
      </c>
      <c r="B621" s="6" t="s">
        <v>7</v>
      </c>
      <c r="C621" s="6" t="s">
        <v>11</v>
      </c>
    </row>
    <row r="622" spans="1:3" ht="15.75" customHeight="1">
      <c r="A622" s="28">
        <v>1</v>
      </c>
      <c r="B622" s="65" t="s">
        <v>502</v>
      </c>
      <c r="C622" s="58">
        <v>351494</v>
      </c>
    </row>
    <row r="623" spans="1:3" ht="15.75" customHeight="1">
      <c r="A623" s="28">
        <v>2</v>
      </c>
      <c r="B623" s="65" t="s">
        <v>503</v>
      </c>
      <c r="C623" s="58">
        <v>437610</v>
      </c>
    </row>
    <row r="624" spans="1:3" ht="15.75" customHeight="1">
      <c r="A624" s="13"/>
      <c r="B624" s="50"/>
      <c r="C624" s="48"/>
    </row>
    <row r="625" spans="1:3" ht="15.75" customHeight="1"/>
    <row r="626" spans="1:3" ht="15.75" customHeight="1">
      <c r="A626" s="69" t="s">
        <v>504</v>
      </c>
      <c r="B626" s="67"/>
      <c r="C626" s="68"/>
    </row>
    <row r="627" spans="1:3" ht="15.75" customHeight="1"/>
    <row r="628" spans="1:3" ht="15.75" customHeight="1">
      <c r="A628" s="66" t="s">
        <v>501</v>
      </c>
      <c r="B628" s="67"/>
      <c r="C628" s="68"/>
    </row>
    <row r="629" spans="1:3" ht="15.75" customHeight="1"/>
    <row r="630" spans="1:3" ht="15.75" customHeight="1">
      <c r="A630" s="53" t="s">
        <v>6</v>
      </c>
      <c r="B630" s="53" t="s">
        <v>7</v>
      </c>
      <c r="C630" s="53" t="s">
        <v>11</v>
      </c>
    </row>
    <row r="631" spans="1:3" ht="15.75" customHeight="1">
      <c r="A631" s="28">
        <v>1</v>
      </c>
      <c r="B631" s="65" t="s">
        <v>505</v>
      </c>
      <c r="C631" s="58">
        <v>279585</v>
      </c>
    </row>
    <row r="632" spans="1:3" ht="15.75" customHeight="1">
      <c r="A632" s="28">
        <v>2</v>
      </c>
      <c r="B632" s="65" t="s">
        <v>506</v>
      </c>
      <c r="C632" s="58">
        <v>218805</v>
      </c>
    </row>
    <row r="633" spans="1:3" ht="15.75" customHeight="1">
      <c r="A633" s="28">
        <v>3</v>
      </c>
      <c r="B633" s="65" t="s">
        <v>507</v>
      </c>
      <c r="C633" s="58">
        <v>243120</v>
      </c>
    </row>
    <row r="634" spans="1:3" ht="15.75" customHeight="1">
      <c r="A634" s="28">
        <v>4</v>
      </c>
      <c r="B634" s="65" t="s">
        <v>508</v>
      </c>
      <c r="C634" s="58">
        <v>273510</v>
      </c>
    </row>
    <row r="635" spans="1:3" ht="15.75" customHeight="1">
      <c r="A635" s="28">
        <v>5</v>
      </c>
      <c r="B635" s="65" t="s">
        <v>509</v>
      </c>
      <c r="C635" s="58">
        <v>295390</v>
      </c>
    </row>
    <row r="636" spans="1:3" ht="15.75" customHeight="1">
      <c r="A636" s="28">
        <v>6</v>
      </c>
      <c r="B636" s="65" t="s">
        <v>510</v>
      </c>
      <c r="C636" s="58">
        <v>328210</v>
      </c>
    </row>
    <row r="637" spans="1:3" ht="15.75" customHeight="1">
      <c r="A637" s="28">
        <v>7</v>
      </c>
      <c r="B637" s="65" t="s">
        <v>511</v>
      </c>
      <c r="C637" s="58">
        <v>174475</v>
      </c>
    </row>
    <row r="638" spans="1:3" ht="15.75" customHeight="1">
      <c r="A638" s="28">
        <v>8</v>
      </c>
      <c r="B638" s="65" t="s">
        <v>512</v>
      </c>
      <c r="C638" s="58">
        <v>408440</v>
      </c>
    </row>
    <row r="639" spans="1:3" ht="15.75" customHeight="1">
      <c r="A639" s="28">
        <v>9</v>
      </c>
      <c r="B639" s="51" t="s">
        <v>513</v>
      </c>
      <c r="C639" s="30">
        <v>310145</v>
      </c>
    </row>
    <row r="640" spans="1:3" ht="15.75" customHeight="1">
      <c r="A640" s="28">
        <v>10</v>
      </c>
      <c r="B640" s="51" t="s">
        <v>514</v>
      </c>
      <c r="C640" s="30">
        <v>364675</v>
      </c>
    </row>
    <row r="641" spans="1:3" ht="15.75" customHeight="1">
      <c r="A641" s="28">
        <v>11</v>
      </c>
      <c r="B641" s="51" t="s">
        <v>515</v>
      </c>
      <c r="C641" s="30">
        <v>388990</v>
      </c>
    </row>
    <row r="642" spans="1:3" ht="15.75" customHeight="1">
      <c r="A642" s="28">
        <v>12</v>
      </c>
      <c r="B642" s="51" t="s">
        <v>516</v>
      </c>
      <c r="C642" s="30">
        <v>474080</v>
      </c>
    </row>
    <row r="643" spans="1:3" ht="15.75" customHeight="1">
      <c r="A643" s="28">
        <v>13</v>
      </c>
      <c r="B643" s="51" t="s">
        <v>517</v>
      </c>
      <c r="C643" s="30">
        <v>522705</v>
      </c>
    </row>
    <row r="644" spans="1:3" ht="15.75" customHeight="1">
      <c r="A644" s="28">
        <v>14</v>
      </c>
      <c r="B644" s="51" t="s">
        <v>518</v>
      </c>
      <c r="C644" s="30">
        <v>449765</v>
      </c>
    </row>
    <row r="645" spans="1:3" ht="15.75" customHeight="1">
      <c r="A645" s="28">
        <v>15</v>
      </c>
      <c r="B645" s="51" t="s">
        <v>519</v>
      </c>
      <c r="C645" s="30">
        <v>284450</v>
      </c>
    </row>
    <row r="646" spans="1:3" ht="15.75" customHeight="1"/>
    <row r="647" spans="1:3" ht="15.75" customHeight="1">
      <c r="A647" s="69" t="s">
        <v>520</v>
      </c>
      <c r="B647" s="67"/>
      <c r="C647" s="68"/>
    </row>
    <row r="648" spans="1:3" ht="15.75" customHeight="1"/>
    <row r="649" spans="1:3" ht="15.75" customHeight="1">
      <c r="A649" s="53" t="s">
        <v>6</v>
      </c>
      <c r="B649" s="53" t="s">
        <v>7</v>
      </c>
      <c r="C649" s="53" t="s">
        <v>11</v>
      </c>
    </row>
    <row r="650" spans="1:3" ht="15.75" customHeight="1"/>
    <row r="651" spans="1:3" ht="15.75" customHeight="1">
      <c r="A651" s="28">
        <v>1</v>
      </c>
      <c r="B651" s="60" t="s">
        <v>521</v>
      </c>
      <c r="C651" s="58">
        <v>62715</v>
      </c>
    </row>
    <row r="652" spans="1:3" ht="15.75" customHeight="1"/>
    <row r="653" spans="1:3" ht="15.75" customHeight="1"/>
    <row r="654" spans="1:3" ht="15.75" customHeight="1"/>
    <row r="655" spans="1:3" ht="15.75" customHeight="1"/>
    <row r="656" spans="1:3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1:C1"/>
    <mergeCell ref="A2:C2"/>
    <mergeCell ref="A22:C22"/>
    <mergeCell ref="A23:C23"/>
    <mergeCell ref="A34:C34"/>
    <mergeCell ref="A51:C51"/>
    <mergeCell ref="A52:C52"/>
    <mergeCell ref="A63:C63"/>
    <mergeCell ref="A79:C79"/>
    <mergeCell ref="A92:C92"/>
    <mergeCell ref="A93:C93"/>
    <mergeCell ref="A127:C127"/>
    <mergeCell ref="A128:C128"/>
    <mergeCell ref="A159:C159"/>
    <mergeCell ref="A165:C165"/>
    <mergeCell ref="A166:C166"/>
    <mergeCell ref="A193:C193"/>
    <mergeCell ref="A216:C216"/>
    <mergeCell ref="A217:C217"/>
    <mergeCell ref="A226:C226"/>
    <mergeCell ref="A227:C227"/>
    <mergeCell ref="A250:C250"/>
    <mergeCell ref="A252:C252"/>
    <mergeCell ref="A256:C256"/>
    <mergeCell ref="A257:C257"/>
    <mergeCell ref="A258:C258"/>
    <mergeCell ref="A272:C272"/>
    <mergeCell ref="A376:C376"/>
    <mergeCell ref="A399:C399"/>
    <mergeCell ref="A407:C407"/>
    <mergeCell ref="A422:C422"/>
    <mergeCell ref="A432:C432"/>
    <mergeCell ref="A434:C434"/>
    <mergeCell ref="A441:C441"/>
    <mergeCell ref="A452:C452"/>
    <mergeCell ref="A454:C454"/>
    <mergeCell ref="A467:C467"/>
    <mergeCell ref="A469:C469"/>
    <mergeCell ref="A503:C503"/>
    <mergeCell ref="A505:C505"/>
    <mergeCell ref="A541:C541"/>
    <mergeCell ref="A550:C550"/>
    <mergeCell ref="A628:C628"/>
    <mergeCell ref="A647:C647"/>
    <mergeCell ref="A564:C564"/>
    <mergeCell ref="A566:C566"/>
    <mergeCell ref="A598:C598"/>
    <mergeCell ref="A613:C613"/>
    <mergeCell ref="A614:C614"/>
    <mergeCell ref="A620:C620"/>
    <mergeCell ref="A626:C626"/>
  </mergeCells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56" r:id="rId18" xr:uid="{00000000-0004-0000-0000-000011000000}"/>
    <hyperlink ref="B57" r:id="rId19" xr:uid="{00000000-0004-0000-0000-000012000000}"/>
    <hyperlink ref="B58" r:id="rId20" xr:uid="{00000000-0004-0000-0000-000013000000}"/>
    <hyperlink ref="B59" r:id="rId21" xr:uid="{00000000-0004-0000-0000-000014000000}"/>
    <hyperlink ref="B60" r:id="rId22" xr:uid="{00000000-0004-0000-0000-000015000000}"/>
    <hyperlink ref="B66" r:id="rId23" xr:uid="{00000000-0004-0000-0000-000016000000}"/>
    <hyperlink ref="B67" r:id="rId24" xr:uid="{00000000-0004-0000-0000-000017000000}"/>
    <hyperlink ref="B68" r:id="rId25" xr:uid="{00000000-0004-0000-0000-000018000000}"/>
    <hyperlink ref="B69" r:id="rId26" xr:uid="{00000000-0004-0000-0000-000019000000}"/>
    <hyperlink ref="B70" r:id="rId27" xr:uid="{00000000-0004-0000-0000-00001A000000}"/>
    <hyperlink ref="B71" r:id="rId28" xr:uid="{00000000-0004-0000-0000-00001B000000}"/>
    <hyperlink ref="B72" r:id="rId29" xr:uid="{00000000-0004-0000-0000-00001C000000}"/>
    <hyperlink ref="B73" r:id="rId30" xr:uid="{00000000-0004-0000-0000-00001D000000}"/>
    <hyperlink ref="B74" r:id="rId31" xr:uid="{00000000-0004-0000-0000-00001E000000}"/>
    <hyperlink ref="B75" r:id="rId32" xr:uid="{00000000-0004-0000-0000-00001F000000}"/>
    <hyperlink ref="B76" r:id="rId33" xr:uid="{00000000-0004-0000-0000-000020000000}"/>
    <hyperlink ref="B77" r:id="rId34" xr:uid="{00000000-0004-0000-0000-000021000000}"/>
    <hyperlink ref="B103" r:id="rId35" xr:uid="{00000000-0004-0000-0000-000022000000}"/>
    <hyperlink ref="B104" r:id="rId36" xr:uid="{00000000-0004-0000-0000-000023000000}"/>
    <hyperlink ref="B105" r:id="rId37" xr:uid="{00000000-0004-0000-0000-000024000000}"/>
    <hyperlink ref="B106" r:id="rId38" xr:uid="{00000000-0004-0000-0000-000025000000}"/>
    <hyperlink ref="B107" r:id="rId39" xr:uid="{00000000-0004-0000-0000-000026000000}"/>
    <hyperlink ref="B108" r:id="rId40" xr:uid="{00000000-0004-0000-0000-000027000000}"/>
    <hyperlink ref="B109" r:id="rId41" xr:uid="{00000000-0004-0000-0000-000028000000}"/>
    <hyperlink ref="B110" r:id="rId42" xr:uid="{00000000-0004-0000-0000-000029000000}"/>
    <hyperlink ref="B162" r:id="rId43" xr:uid="{00000000-0004-0000-0000-00002A000000}"/>
    <hyperlink ref="B343" r:id="rId44" xr:uid="{00000000-0004-0000-0000-00002B000000}"/>
    <hyperlink ref="B344" r:id="rId45" xr:uid="{00000000-0004-0000-0000-00002C000000}"/>
    <hyperlink ref="B353" r:id="rId46" xr:uid="{00000000-0004-0000-0000-00002D000000}"/>
    <hyperlink ref="B380" r:id="rId47" xr:uid="{00000000-0004-0000-0000-00002E000000}"/>
    <hyperlink ref="B381" r:id="rId48" xr:uid="{00000000-0004-0000-0000-00002F000000}"/>
    <hyperlink ref="B383" r:id="rId49" xr:uid="{00000000-0004-0000-0000-000030000000}"/>
    <hyperlink ref="B394" r:id="rId50" xr:uid="{00000000-0004-0000-0000-000031000000}"/>
    <hyperlink ref="B396" r:id="rId51" xr:uid="{00000000-0004-0000-0000-000032000000}"/>
    <hyperlink ref="B402" r:id="rId52" xr:uid="{00000000-0004-0000-0000-000033000000}"/>
    <hyperlink ref="B403" r:id="rId53" xr:uid="{00000000-0004-0000-0000-000034000000}"/>
    <hyperlink ref="B404" r:id="rId54" xr:uid="{00000000-0004-0000-0000-000035000000}"/>
    <hyperlink ref="B405" r:id="rId55" xr:uid="{00000000-0004-0000-0000-000036000000}"/>
    <hyperlink ref="B411" r:id="rId56" xr:uid="{00000000-0004-0000-0000-000037000000}"/>
    <hyperlink ref="B412" r:id="rId57" xr:uid="{00000000-0004-0000-0000-000038000000}"/>
    <hyperlink ref="B413" r:id="rId58" xr:uid="{00000000-0004-0000-0000-000039000000}"/>
    <hyperlink ref="B414" r:id="rId59" xr:uid="{00000000-0004-0000-0000-00003A000000}"/>
    <hyperlink ref="B415" r:id="rId60" xr:uid="{00000000-0004-0000-0000-00003B000000}"/>
    <hyperlink ref="B416" r:id="rId61" xr:uid="{00000000-0004-0000-0000-00003C000000}"/>
    <hyperlink ref="B417" r:id="rId62" xr:uid="{00000000-0004-0000-0000-00003D000000}"/>
    <hyperlink ref="B418" r:id="rId63" xr:uid="{00000000-0004-0000-0000-00003E000000}"/>
    <hyperlink ref="B419" r:id="rId64" xr:uid="{00000000-0004-0000-0000-00003F000000}"/>
    <hyperlink ref="B420" r:id="rId65" xr:uid="{00000000-0004-0000-0000-000040000000}"/>
    <hyperlink ref="B426" r:id="rId66" xr:uid="{00000000-0004-0000-0000-000041000000}"/>
    <hyperlink ref="B427" r:id="rId67" xr:uid="{00000000-0004-0000-0000-000042000000}"/>
    <hyperlink ref="B428" r:id="rId68" xr:uid="{00000000-0004-0000-0000-000043000000}"/>
    <hyperlink ref="B429" r:id="rId69" xr:uid="{00000000-0004-0000-0000-000044000000}"/>
    <hyperlink ref="B438" r:id="rId70" xr:uid="{00000000-0004-0000-0000-000045000000}"/>
    <hyperlink ref="B449" r:id="rId71" xr:uid="{00000000-0004-0000-0000-000046000000}"/>
    <hyperlink ref="B450" r:id="rId72" xr:uid="{00000000-0004-0000-0000-000047000000}"/>
    <hyperlink ref="B483" r:id="rId73" xr:uid="{00000000-0004-0000-0000-000048000000}"/>
    <hyperlink ref="B552" r:id="rId74" xr:uid="{00000000-0004-0000-0000-000049000000}"/>
    <hyperlink ref="B553" r:id="rId75" xr:uid="{00000000-0004-0000-0000-00004A000000}"/>
    <hyperlink ref="B554" r:id="rId76" xr:uid="{00000000-0004-0000-0000-00004B000000}"/>
    <hyperlink ref="B555" r:id="rId77" xr:uid="{00000000-0004-0000-0000-00004C000000}"/>
    <hyperlink ref="B556" r:id="rId78" xr:uid="{00000000-0004-0000-0000-00004D000000}"/>
    <hyperlink ref="B557" r:id="rId79" xr:uid="{00000000-0004-0000-0000-00004E000000}"/>
    <hyperlink ref="B558" r:id="rId80" xr:uid="{00000000-0004-0000-0000-00004F000000}"/>
    <hyperlink ref="B559" r:id="rId81" xr:uid="{00000000-0004-0000-0000-000050000000}"/>
    <hyperlink ref="B560" r:id="rId82" xr:uid="{00000000-0004-0000-0000-000051000000}"/>
    <hyperlink ref="B561" r:id="rId83" xr:uid="{00000000-0004-0000-0000-000052000000}"/>
    <hyperlink ref="B562" r:id="rId84" xr:uid="{00000000-0004-0000-0000-000053000000}"/>
    <hyperlink ref="B616" r:id="rId85" xr:uid="{00000000-0004-0000-0000-000054000000}"/>
    <hyperlink ref="B617" r:id="rId86" xr:uid="{00000000-0004-0000-0000-000055000000}"/>
    <hyperlink ref="B618" r:id="rId87" xr:uid="{00000000-0004-0000-0000-000056000000}"/>
    <hyperlink ref="B622" r:id="rId88" xr:uid="{00000000-0004-0000-0000-000057000000}"/>
    <hyperlink ref="B623" r:id="rId89" xr:uid="{00000000-0004-0000-0000-000058000000}"/>
    <hyperlink ref="B631" r:id="rId90" xr:uid="{00000000-0004-0000-0000-000059000000}"/>
    <hyperlink ref="B632" r:id="rId91" xr:uid="{00000000-0004-0000-0000-00005A000000}"/>
    <hyperlink ref="B633" r:id="rId92" xr:uid="{00000000-0004-0000-0000-00005B000000}"/>
    <hyperlink ref="B634" r:id="rId93" xr:uid="{00000000-0004-0000-0000-00005C000000}"/>
    <hyperlink ref="B635" r:id="rId94" xr:uid="{00000000-0004-0000-0000-00005D000000}"/>
    <hyperlink ref="B636" r:id="rId95" xr:uid="{00000000-0004-0000-0000-00005E000000}"/>
    <hyperlink ref="B637" r:id="rId96" xr:uid="{00000000-0004-0000-0000-00005F000000}"/>
    <hyperlink ref="B638" r:id="rId97" xr:uid="{00000000-0004-0000-0000-000060000000}"/>
    <hyperlink ref="B639" r:id="rId98" xr:uid="{00000000-0004-0000-0000-000061000000}"/>
    <hyperlink ref="B640" r:id="rId99" xr:uid="{00000000-0004-0000-0000-000062000000}"/>
    <hyperlink ref="B641" r:id="rId100" xr:uid="{00000000-0004-0000-0000-000063000000}"/>
    <hyperlink ref="B642" r:id="rId101" xr:uid="{00000000-0004-0000-0000-000064000000}"/>
    <hyperlink ref="B643" r:id="rId102" xr:uid="{00000000-0004-0000-0000-000065000000}"/>
    <hyperlink ref="B644" r:id="rId103" xr:uid="{00000000-0004-0000-0000-000066000000}"/>
    <hyperlink ref="B645" r:id="rId104" xr:uid="{00000000-0004-0000-0000-000067000000}"/>
    <hyperlink ref="B651" r:id="rId105" xr:uid="{00000000-0004-0000-0000-000068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/>
  <cols>
    <col min="1" max="1" width="10.6640625" customWidth="1"/>
    <col min="2" max="2" width="66" customWidth="1"/>
    <col min="3" max="3" width="19.5546875" customWidth="1"/>
    <col min="4" max="26" width="10.6640625" customWidth="1"/>
  </cols>
  <sheetData>
    <row r="1" spans="1:5" ht="20.399999999999999">
      <c r="A1" s="1" t="s">
        <v>0</v>
      </c>
      <c r="B1" s="2"/>
      <c r="C1" s="2"/>
    </row>
    <row r="2" spans="1:5" ht="14.4">
      <c r="A2" s="3"/>
      <c r="B2" s="3"/>
      <c r="C2" s="3"/>
    </row>
    <row r="3" spans="1:5" ht="21">
      <c r="A3" s="79" t="s">
        <v>2</v>
      </c>
      <c r="B3" s="71"/>
      <c r="C3" s="71"/>
      <c r="D3" s="71"/>
      <c r="E3" s="71"/>
    </row>
    <row r="4" spans="1:5" ht="14.4">
      <c r="A4" s="4"/>
      <c r="B4" s="4"/>
      <c r="C4" s="4"/>
      <c r="D4" s="4"/>
      <c r="E4" s="4"/>
    </row>
    <row r="5" spans="1:5" ht="16.8">
      <c r="A5" s="80" t="s">
        <v>3</v>
      </c>
      <c r="B5" s="71"/>
      <c r="C5" s="71"/>
      <c r="D5" s="71"/>
      <c r="E5" s="71"/>
    </row>
    <row r="6" spans="1:5" ht="14.4">
      <c r="A6" s="5" t="s">
        <v>5</v>
      </c>
      <c r="B6" s="5" t="s">
        <v>7</v>
      </c>
      <c r="C6" s="5" t="s">
        <v>8</v>
      </c>
      <c r="D6" s="5" t="s">
        <v>9</v>
      </c>
      <c r="E6" s="5" t="s">
        <v>10</v>
      </c>
    </row>
    <row r="7" spans="1:5" ht="14.4">
      <c r="A7" s="8">
        <v>1</v>
      </c>
      <c r="B7" s="9" t="s">
        <v>13</v>
      </c>
      <c r="C7" s="8" t="s">
        <v>14</v>
      </c>
      <c r="D7" s="8" t="s">
        <v>15</v>
      </c>
      <c r="E7" s="9" t="s">
        <v>16</v>
      </c>
    </row>
    <row r="8" spans="1:5" ht="14.4">
      <c r="A8" s="8">
        <v>2</v>
      </c>
      <c r="B8" s="9" t="s">
        <v>17</v>
      </c>
      <c r="C8" s="12" t="s">
        <v>19</v>
      </c>
      <c r="D8" s="12" t="s">
        <v>20</v>
      </c>
      <c r="E8" s="9" t="s">
        <v>21</v>
      </c>
    </row>
    <row r="9" spans="1:5" ht="14.4">
      <c r="A9" s="8">
        <v>3</v>
      </c>
      <c r="B9" s="9" t="s">
        <v>23</v>
      </c>
      <c r="C9" s="8" t="s">
        <v>24</v>
      </c>
      <c r="D9" s="8" t="s">
        <v>25</v>
      </c>
      <c r="E9" s="9" t="s">
        <v>26</v>
      </c>
    </row>
    <row r="10" spans="1:5" ht="14.4">
      <c r="A10" s="8">
        <v>4</v>
      </c>
      <c r="B10" s="9" t="s">
        <v>28</v>
      </c>
      <c r="C10" s="8" t="s">
        <v>30</v>
      </c>
      <c r="D10" s="8" t="s">
        <v>31</v>
      </c>
      <c r="E10" s="9" t="s">
        <v>32</v>
      </c>
    </row>
    <row r="11" spans="1:5" ht="14.4">
      <c r="A11" s="8">
        <v>5</v>
      </c>
      <c r="B11" s="9" t="s">
        <v>33</v>
      </c>
      <c r="C11" s="8" t="s">
        <v>35</v>
      </c>
      <c r="D11" s="8" t="s">
        <v>36</v>
      </c>
      <c r="E11" s="9" t="s">
        <v>37</v>
      </c>
    </row>
    <row r="12" spans="1:5" ht="14.4">
      <c r="A12" s="4"/>
      <c r="B12" s="4"/>
      <c r="C12" s="4"/>
      <c r="D12" s="4"/>
      <c r="E12" s="4"/>
    </row>
    <row r="13" spans="1:5" ht="16.8">
      <c r="A13" s="80" t="s">
        <v>38</v>
      </c>
      <c r="B13" s="71"/>
      <c r="C13" s="71"/>
      <c r="D13" s="71"/>
      <c r="E13" s="71"/>
    </row>
    <row r="14" spans="1:5" ht="14.4">
      <c r="A14" s="5" t="s">
        <v>5</v>
      </c>
      <c r="B14" s="5" t="s">
        <v>7</v>
      </c>
      <c r="C14" s="5" t="s">
        <v>8</v>
      </c>
      <c r="D14" s="5" t="s">
        <v>9</v>
      </c>
      <c r="E14" s="5" t="s">
        <v>10</v>
      </c>
    </row>
    <row r="15" spans="1:5" ht="14.4">
      <c r="A15" s="8">
        <v>1</v>
      </c>
      <c r="B15" s="9" t="s">
        <v>39</v>
      </c>
      <c r="C15" s="8" t="s">
        <v>41</v>
      </c>
      <c r="D15" s="8" t="s">
        <v>42</v>
      </c>
      <c r="E15" s="9" t="s">
        <v>43</v>
      </c>
    </row>
    <row r="16" spans="1:5" ht="14.4">
      <c r="A16" s="8">
        <v>2</v>
      </c>
      <c r="B16" s="9" t="s">
        <v>44</v>
      </c>
      <c r="C16" s="8" t="s">
        <v>46</v>
      </c>
      <c r="D16" s="8" t="s">
        <v>47</v>
      </c>
      <c r="E16" s="9" t="s">
        <v>48</v>
      </c>
    </row>
    <row r="17" spans="1:5" ht="14.4">
      <c r="A17" s="8">
        <v>3</v>
      </c>
      <c r="B17" s="9" t="s">
        <v>49</v>
      </c>
      <c r="C17" s="8" t="s">
        <v>51</v>
      </c>
      <c r="D17" s="8" t="s">
        <v>52</v>
      </c>
      <c r="E17" s="9" t="s">
        <v>53</v>
      </c>
    </row>
    <row r="18" spans="1:5" ht="14.4">
      <c r="A18" s="8">
        <v>4</v>
      </c>
      <c r="B18" s="9" t="s">
        <v>54</v>
      </c>
      <c r="C18" s="8" t="s">
        <v>56</v>
      </c>
      <c r="D18" s="8" t="s">
        <v>51</v>
      </c>
      <c r="E18" s="9" t="s">
        <v>57</v>
      </c>
    </row>
    <row r="19" spans="1:5" ht="14.4">
      <c r="A19" s="4"/>
      <c r="B19" s="4"/>
      <c r="C19" s="4"/>
      <c r="D19" s="4"/>
      <c r="E19" s="4"/>
    </row>
    <row r="20" spans="1:5" ht="16.8">
      <c r="A20" s="80" t="s">
        <v>58</v>
      </c>
      <c r="B20" s="71"/>
      <c r="C20" s="71"/>
      <c r="D20" s="71"/>
      <c r="E20" s="71"/>
    </row>
    <row r="21" spans="1:5" ht="15.75" customHeight="1">
      <c r="A21" s="5" t="s">
        <v>5</v>
      </c>
      <c r="B21" s="5" t="s">
        <v>7</v>
      </c>
      <c r="C21" s="5" t="s">
        <v>8</v>
      </c>
      <c r="D21" s="5" t="s">
        <v>9</v>
      </c>
      <c r="E21" s="5" t="s">
        <v>10</v>
      </c>
    </row>
    <row r="22" spans="1:5" ht="15.75" customHeight="1">
      <c r="A22" s="8">
        <v>1</v>
      </c>
      <c r="B22" s="9" t="s">
        <v>59</v>
      </c>
      <c r="C22" s="8" t="s">
        <v>61</v>
      </c>
      <c r="D22" s="8" t="s">
        <v>62</v>
      </c>
      <c r="E22" s="9" t="s">
        <v>63</v>
      </c>
    </row>
    <row r="23" spans="1:5" ht="15.75" customHeight="1">
      <c r="A23" s="8">
        <v>2</v>
      </c>
      <c r="B23" s="9" t="s">
        <v>64</v>
      </c>
      <c r="C23" s="8" t="s">
        <v>66</v>
      </c>
      <c r="D23" s="8" t="s">
        <v>67</v>
      </c>
      <c r="E23" s="9" t="s">
        <v>68</v>
      </c>
    </row>
    <row r="24" spans="1:5" ht="15.75" customHeight="1">
      <c r="A24" s="8">
        <v>3</v>
      </c>
      <c r="B24" s="9" t="s">
        <v>69</v>
      </c>
      <c r="C24" s="8" t="s">
        <v>71</v>
      </c>
      <c r="D24" s="8" t="s">
        <v>72</v>
      </c>
      <c r="E24" s="9" t="s">
        <v>73</v>
      </c>
    </row>
    <row r="25" spans="1:5" ht="15.75" customHeight="1">
      <c r="A25" s="8">
        <v>4</v>
      </c>
      <c r="B25" s="9" t="s">
        <v>74</v>
      </c>
      <c r="C25" s="8" t="s">
        <v>76</v>
      </c>
      <c r="D25" s="8" t="s">
        <v>77</v>
      </c>
      <c r="E25" s="9" t="s">
        <v>78</v>
      </c>
    </row>
    <row r="26" spans="1:5" ht="15.75" customHeight="1">
      <c r="A26" s="8">
        <v>5</v>
      </c>
      <c r="B26" s="9" t="s">
        <v>79</v>
      </c>
      <c r="C26" s="8" t="s">
        <v>82</v>
      </c>
      <c r="D26" s="8" t="s">
        <v>83</v>
      </c>
      <c r="E26" s="9" t="s">
        <v>84</v>
      </c>
    </row>
    <row r="27" spans="1:5" ht="15.75" customHeight="1">
      <c r="A27" s="8">
        <v>6</v>
      </c>
      <c r="B27" s="9" t="s">
        <v>85</v>
      </c>
      <c r="C27" s="8" t="s">
        <v>87</v>
      </c>
      <c r="D27" s="8" t="s">
        <v>88</v>
      </c>
      <c r="E27" s="9" t="s">
        <v>89</v>
      </c>
    </row>
    <row r="28" spans="1:5" ht="15.75" customHeight="1">
      <c r="A28" s="8">
        <v>7</v>
      </c>
      <c r="B28" s="9" t="s">
        <v>90</v>
      </c>
      <c r="C28" s="8" t="s">
        <v>91</v>
      </c>
      <c r="D28" s="8" t="s">
        <v>93</v>
      </c>
      <c r="E28" s="9" t="s">
        <v>94</v>
      </c>
    </row>
    <row r="29" spans="1:5" ht="15.75" customHeight="1">
      <c r="A29" s="8">
        <v>8</v>
      </c>
      <c r="B29" s="9" t="s">
        <v>95</v>
      </c>
      <c r="C29" s="8" t="s">
        <v>96</v>
      </c>
      <c r="D29" s="8" t="s">
        <v>97</v>
      </c>
      <c r="E29" s="9" t="s">
        <v>98</v>
      </c>
    </row>
    <row r="30" spans="1:5" ht="15.75" customHeight="1">
      <c r="A30" s="8">
        <v>9</v>
      </c>
      <c r="B30" s="9" t="s">
        <v>99</v>
      </c>
      <c r="C30" s="8" t="s">
        <v>100</v>
      </c>
      <c r="D30" s="8" t="s">
        <v>101</v>
      </c>
      <c r="E30" s="9" t="s">
        <v>102</v>
      </c>
    </row>
    <row r="31" spans="1:5" ht="15.75" customHeight="1">
      <c r="A31" s="8">
        <v>10</v>
      </c>
      <c r="B31" s="9" t="s">
        <v>103</v>
      </c>
      <c r="C31" s="8" t="s">
        <v>104</v>
      </c>
      <c r="D31" s="8" t="s">
        <v>105</v>
      </c>
      <c r="E31" s="9" t="s">
        <v>106</v>
      </c>
    </row>
    <row r="32" spans="1:5" ht="15.75" customHeight="1">
      <c r="A32" s="8">
        <v>11</v>
      </c>
      <c r="B32" s="9" t="s">
        <v>107</v>
      </c>
      <c r="C32" s="8" t="s">
        <v>109</v>
      </c>
      <c r="D32" s="8" t="s">
        <v>110</v>
      </c>
      <c r="E32" s="9" t="s">
        <v>111</v>
      </c>
    </row>
    <row r="33" spans="1:5" ht="15.75" customHeight="1">
      <c r="A33" s="8">
        <v>12</v>
      </c>
      <c r="B33" s="9" t="s">
        <v>112</v>
      </c>
      <c r="C33" s="8" t="s">
        <v>56</v>
      </c>
      <c r="D33" s="8" t="s">
        <v>56</v>
      </c>
      <c r="E33" s="9" t="s">
        <v>113</v>
      </c>
    </row>
    <row r="34" spans="1:5" ht="15.75" customHeight="1">
      <c r="A34" s="8">
        <v>13</v>
      </c>
      <c r="B34" s="9" t="s">
        <v>114</v>
      </c>
      <c r="C34" s="8" t="s">
        <v>115</v>
      </c>
      <c r="D34" s="8" t="s">
        <v>116</v>
      </c>
      <c r="E34" s="9" t="s">
        <v>117</v>
      </c>
    </row>
    <row r="35" spans="1:5" ht="15.75" customHeight="1">
      <c r="A35" s="8">
        <v>14</v>
      </c>
      <c r="B35" s="9" t="s">
        <v>118</v>
      </c>
      <c r="C35" s="8" t="s">
        <v>120</v>
      </c>
      <c r="D35" s="8" t="s">
        <v>121</v>
      </c>
      <c r="E35" s="9" t="s">
        <v>122</v>
      </c>
    </row>
    <row r="36" spans="1:5" ht="15.75" customHeight="1">
      <c r="A36" s="8">
        <v>15</v>
      </c>
      <c r="B36" s="9" t="s">
        <v>123</v>
      </c>
      <c r="C36" s="8" t="s">
        <v>125</v>
      </c>
      <c r="D36" s="8" t="s">
        <v>126</v>
      </c>
      <c r="E36" s="9" t="s">
        <v>127</v>
      </c>
    </row>
    <row r="37" spans="1:5" ht="15.75" customHeight="1">
      <c r="A37" s="4"/>
      <c r="B37" s="4"/>
      <c r="C37" s="4"/>
      <c r="D37" s="4"/>
      <c r="E37" s="4"/>
    </row>
    <row r="38" spans="1:5" ht="15.75" customHeight="1">
      <c r="A38" s="80" t="s">
        <v>128</v>
      </c>
      <c r="B38" s="71"/>
      <c r="C38" s="71"/>
      <c r="D38" s="71"/>
      <c r="E38" s="71"/>
    </row>
    <row r="39" spans="1:5" ht="15.75" customHeight="1">
      <c r="A39" s="5" t="s">
        <v>5</v>
      </c>
      <c r="B39" s="5" t="s">
        <v>7</v>
      </c>
      <c r="C39" s="5" t="s">
        <v>8</v>
      </c>
      <c r="D39" s="5" t="s">
        <v>9</v>
      </c>
      <c r="E39" s="5" t="s">
        <v>10</v>
      </c>
    </row>
    <row r="40" spans="1:5" ht="15.75" customHeight="1">
      <c r="A40" s="8">
        <v>1</v>
      </c>
      <c r="B40" s="9" t="s">
        <v>129</v>
      </c>
      <c r="C40" s="8" t="s">
        <v>132</v>
      </c>
      <c r="D40" s="8" t="s">
        <v>133</v>
      </c>
      <c r="E40" s="9" t="s">
        <v>134</v>
      </c>
    </row>
    <row r="41" spans="1:5" ht="15.75" customHeight="1">
      <c r="A41" s="8">
        <v>2</v>
      </c>
      <c r="B41" s="9" t="s">
        <v>135</v>
      </c>
      <c r="C41" s="8" t="s">
        <v>137</v>
      </c>
      <c r="D41" s="8" t="s">
        <v>138</v>
      </c>
      <c r="E41" s="9" t="s">
        <v>139</v>
      </c>
    </row>
    <row r="42" spans="1:5" ht="15.75" customHeight="1">
      <c r="A42" s="8">
        <v>3</v>
      </c>
      <c r="B42" s="9" t="s">
        <v>140</v>
      </c>
      <c r="C42" s="8" t="s">
        <v>142</v>
      </c>
      <c r="D42" s="8" t="s">
        <v>143</v>
      </c>
      <c r="E42" s="9" t="s">
        <v>144</v>
      </c>
    </row>
    <row r="43" spans="1:5" ht="15.75" customHeight="1">
      <c r="A43" s="8">
        <v>4</v>
      </c>
      <c r="B43" s="9" t="s">
        <v>145</v>
      </c>
      <c r="C43" s="8" t="s">
        <v>142</v>
      </c>
      <c r="D43" s="8" t="s">
        <v>147</v>
      </c>
      <c r="E43" s="9" t="s">
        <v>148</v>
      </c>
    </row>
    <row r="44" spans="1:5" ht="15.75" customHeight="1">
      <c r="A44" s="8">
        <v>5</v>
      </c>
      <c r="B44" s="9" t="s">
        <v>149</v>
      </c>
      <c r="C44" s="8" t="s">
        <v>14</v>
      </c>
      <c r="D44" s="8" t="s">
        <v>151</v>
      </c>
      <c r="E44" s="9" t="s">
        <v>152</v>
      </c>
    </row>
    <row r="45" spans="1:5" ht="15.75" customHeight="1">
      <c r="A45" s="8">
        <v>6</v>
      </c>
      <c r="B45" s="9" t="s">
        <v>153</v>
      </c>
      <c r="C45" s="8" t="s">
        <v>154</v>
      </c>
      <c r="D45" s="8" t="s">
        <v>155</v>
      </c>
      <c r="E45" s="9" t="s">
        <v>156</v>
      </c>
    </row>
    <row r="46" spans="1:5" ht="15.75" customHeight="1">
      <c r="A46" s="8">
        <v>7</v>
      </c>
      <c r="B46" s="9" t="s">
        <v>158</v>
      </c>
      <c r="C46" s="8" t="s">
        <v>160</v>
      </c>
      <c r="D46" s="8" t="s">
        <v>161</v>
      </c>
      <c r="E46" s="9" t="s">
        <v>162</v>
      </c>
    </row>
    <row r="47" spans="1:5" ht="15.75" customHeight="1">
      <c r="A47" s="8">
        <v>8</v>
      </c>
      <c r="B47" s="9" t="s">
        <v>163</v>
      </c>
      <c r="C47" s="8" t="s">
        <v>165</v>
      </c>
      <c r="D47" s="8" t="s">
        <v>165</v>
      </c>
      <c r="E47" s="9" t="s">
        <v>166</v>
      </c>
    </row>
    <row r="48" spans="1:5" ht="15.75" customHeight="1">
      <c r="A48" s="8">
        <v>9</v>
      </c>
      <c r="B48" s="9" t="s">
        <v>167</v>
      </c>
      <c r="C48" s="8" t="s">
        <v>169</v>
      </c>
      <c r="D48" s="8" t="s">
        <v>169</v>
      </c>
      <c r="E48" s="9" t="s">
        <v>170</v>
      </c>
    </row>
    <row r="49" spans="1:5" ht="15.75" customHeight="1">
      <c r="A49" s="8">
        <v>10</v>
      </c>
      <c r="B49" s="9" t="s">
        <v>171</v>
      </c>
      <c r="C49" s="8" t="s">
        <v>47</v>
      </c>
      <c r="D49" s="8" t="s">
        <v>47</v>
      </c>
      <c r="E49" s="9" t="s">
        <v>173</v>
      </c>
    </row>
    <row r="50" spans="1:5" ht="15.75" customHeight="1">
      <c r="A50" s="8">
        <v>11</v>
      </c>
      <c r="B50" s="9" t="s">
        <v>174</v>
      </c>
      <c r="C50" s="8" t="s">
        <v>120</v>
      </c>
      <c r="D50" s="8" t="s">
        <v>120</v>
      </c>
      <c r="E50" s="9" t="s">
        <v>176</v>
      </c>
    </row>
    <row r="51" spans="1:5" ht="15.75" customHeight="1">
      <c r="A51" s="8">
        <v>12</v>
      </c>
      <c r="B51" s="9" t="s">
        <v>177</v>
      </c>
      <c r="C51" s="8" t="s">
        <v>169</v>
      </c>
      <c r="D51" s="8" t="s">
        <v>169</v>
      </c>
      <c r="E51" s="9" t="s">
        <v>179</v>
      </c>
    </row>
    <row r="52" spans="1:5" ht="15.75" customHeight="1">
      <c r="A52" s="8">
        <v>13</v>
      </c>
      <c r="B52" s="9" t="s">
        <v>180</v>
      </c>
      <c r="C52" s="8" t="s">
        <v>181</v>
      </c>
      <c r="D52" s="8" t="s">
        <v>181</v>
      </c>
      <c r="E52" s="9" t="s">
        <v>182</v>
      </c>
    </row>
    <row r="53" spans="1:5" ht="15.75" customHeight="1">
      <c r="A53" s="8">
        <v>14</v>
      </c>
      <c r="B53" s="9" t="s">
        <v>183</v>
      </c>
      <c r="C53" s="8" t="s">
        <v>120</v>
      </c>
      <c r="D53" s="8" t="s">
        <v>120</v>
      </c>
      <c r="E53" s="9" t="s">
        <v>185</v>
      </c>
    </row>
    <row r="54" spans="1:5" ht="15.75" customHeight="1">
      <c r="A54" s="8">
        <v>15</v>
      </c>
      <c r="B54" s="9" t="s">
        <v>186</v>
      </c>
      <c r="C54" s="8" t="s">
        <v>188</v>
      </c>
      <c r="D54" s="8" t="s">
        <v>188</v>
      </c>
      <c r="E54" s="9" t="s">
        <v>189</v>
      </c>
    </row>
    <row r="55" spans="1:5" ht="15.75" customHeight="1">
      <c r="A55" s="8">
        <v>16</v>
      </c>
      <c r="B55" s="9" t="s">
        <v>190</v>
      </c>
      <c r="C55" s="8" t="s">
        <v>120</v>
      </c>
      <c r="D55" s="8" t="s">
        <v>120</v>
      </c>
      <c r="E55" s="9" t="s">
        <v>192</v>
      </c>
    </row>
    <row r="56" spans="1:5" ht="15.75" customHeight="1">
      <c r="A56" s="8">
        <v>17</v>
      </c>
      <c r="B56" s="9" t="s">
        <v>193</v>
      </c>
      <c r="C56" s="8" t="s">
        <v>120</v>
      </c>
      <c r="D56" s="8" t="s">
        <v>120</v>
      </c>
      <c r="E56" s="9" t="s">
        <v>195</v>
      </c>
    </row>
    <row r="57" spans="1:5" ht="15.75" customHeight="1">
      <c r="A57" s="33"/>
      <c r="B57" s="34"/>
      <c r="C57" s="3"/>
    </row>
    <row r="58" spans="1:5" ht="15.75" customHeight="1">
      <c r="A58" s="79" t="s">
        <v>196</v>
      </c>
      <c r="B58" s="71"/>
      <c r="C58" s="71"/>
      <c r="D58" s="71"/>
      <c r="E58" s="71"/>
    </row>
    <row r="59" spans="1:5" ht="15.75" customHeight="1">
      <c r="A59" s="33"/>
      <c r="B59" s="34"/>
      <c r="C59" s="3"/>
    </row>
    <row r="60" spans="1:5" ht="15.75" customHeight="1">
      <c r="A60" s="80" t="s">
        <v>58</v>
      </c>
      <c r="B60" s="71"/>
      <c r="C60" s="71"/>
      <c r="D60" s="71"/>
      <c r="E60" s="71"/>
    </row>
    <row r="61" spans="1:5" ht="15.75" customHeight="1">
      <c r="A61" s="5" t="s">
        <v>5</v>
      </c>
      <c r="B61" s="5" t="s">
        <v>7</v>
      </c>
      <c r="C61" s="5" t="s">
        <v>8</v>
      </c>
      <c r="D61" s="5" t="s">
        <v>9</v>
      </c>
      <c r="E61" s="5" t="s">
        <v>10</v>
      </c>
    </row>
    <row r="62" spans="1:5" ht="15.75" customHeight="1">
      <c r="A62" s="8">
        <v>1</v>
      </c>
      <c r="B62" s="9" t="s">
        <v>197</v>
      </c>
      <c r="C62" s="8" t="s">
        <v>199</v>
      </c>
      <c r="D62" s="8" t="s">
        <v>200</v>
      </c>
      <c r="E62" s="9" t="s">
        <v>201</v>
      </c>
    </row>
    <row r="63" spans="1:5" ht="15.75" customHeight="1">
      <c r="A63" s="8">
        <v>2</v>
      </c>
      <c r="B63" s="9" t="s">
        <v>202</v>
      </c>
      <c r="C63" s="8" t="s">
        <v>204</v>
      </c>
      <c r="D63" s="8" t="s">
        <v>205</v>
      </c>
      <c r="E63" s="9" t="s">
        <v>206</v>
      </c>
    </row>
    <row r="64" spans="1:5" ht="15.75" customHeight="1">
      <c r="A64" s="8">
        <v>3</v>
      </c>
      <c r="B64" s="9" t="s">
        <v>207</v>
      </c>
      <c r="C64" s="8" t="s">
        <v>208</v>
      </c>
      <c r="D64" s="8" t="s">
        <v>104</v>
      </c>
      <c r="E64" s="9" t="s">
        <v>209</v>
      </c>
    </row>
    <row r="65" spans="1:5" ht="15.75" customHeight="1">
      <c r="A65" s="4"/>
      <c r="B65" s="4"/>
      <c r="C65" s="4"/>
      <c r="D65" s="4"/>
      <c r="E65" s="4"/>
    </row>
    <row r="66" spans="1:5" ht="15.75" customHeight="1">
      <c r="A66" s="80" t="s">
        <v>210</v>
      </c>
      <c r="B66" s="71"/>
      <c r="C66" s="71"/>
      <c r="D66" s="71"/>
      <c r="E66" s="71"/>
    </row>
    <row r="67" spans="1:5" ht="15.75" customHeight="1">
      <c r="A67" s="5" t="s">
        <v>5</v>
      </c>
      <c r="B67" s="5" t="s">
        <v>7</v>
      </c>
      <c r="C67" s="5" t="s">
        <v>8</v>
      </c>
      <c r="D67" s="5" t="s">
        <v>9</v>
      </c>
      <c r="E67" s="5" t="s">
        <v>10</v>
      </c>
    </row>
    <row r="68" spans="1:5" ht="15.75" customHeight="1">
      <c r="A68" s="8">
        <v>1</v>
      </c>
      <c r="B68" s="9" t="s">
        <v>211</v>
      </c>
      <c r="C68" s="8" t="s">
        <v>213</v>
      </c>
      <c r="D68" s="8" t="s">
        <v>71</v>
      </c>
      <c r="E68" s="9" t="s">
        <v>214</v>
      </c>
    </row>
    <row r="69" spans="1:5" ht="15.75" customHeight="1">
      <c r="A69" s="8">
        <v>2</v>
      </c>
      <c r="B69" s="9" t="s">
        <v>215</v>
      </c>
      <c r="C69" s="8" t="s">
        <v>72</v>
      </c>
      <c r="D69" s="8" t="s">
        <v>217</v>
      </c>
      <c r="E69" s="9" t="s">
        <v>218</v>
      </c>
    </row>
    <row r="70" spans="1:5" ht="15.75" customHeight="1">
      <c r="A70" s="8">
        <v>3</v>
      </c>
      <c r="B70" s="9" t="s">
        <v>219</v>
      </c>
      <c r="C70" s="8" t="s">
        <v>221</v>
      </c>
      <c r="D70" s="8" t="s">
        <v>222</v>
      </c>
      <c r="E70" s="9" t="s">
        <v>223</v>
      </c>
    </row>
    <row r="71" spans="1:5" ht="15.75" customHeight="1">
      <c r="A71" s="8">
        <v>4</v>
      </c>
      <c r="B71" s="9" t="s">
        <v>224</v>
      </c>
      <c r="C71" s="8" t="s">
        <v>226</v>
      </c>
      <c r="D71" s="8" t="s">
        <v>227</v>
      </c>
      <c r="E71" s="9" t="s">
        <v>228</v>
      </c>
    </row>
    <row r="72" spans="1:5" ht="15.75" customHeight="1">
      <c r="A72" s="8">
        <v>5</v>
      </c>
      <c r="B72" s="9" t="s">
        <v>229</v>
      </c>
      <c r="C72" s="8" t="s">
        <v>231</v>
      </c>
      <c r="D72" s="8" t="s">
        <v>232</v>
      </c>
      <c r="E72" s="9" t="s">
        <v>233</v>
      </c>
    </row>
    <row r="73" spans="1:5" ht="15.75" customHeight="1">
      <c r="A73" s="8">
        <v>6</v>
      </c>
      <c r="B73" s="9" t="s">
        <v>234</v>
      </c>
      <c r="C73" s="8" t="s">
        <v>236</v>
      </c>
      <c r="D73" s="8" t="s">
        <v>237</v>
      </c>
      <c r="E73" s="9" t="s">
        <v>238</v>
      </c>
    </row>
    <row r="74" spans="1:5" ht="15.75" customHeight="1">
      <c r="A74" s="8">
        <v>7</v>
      </c>
      <c r="B74" s="9" t="s">
        <v>239</v>
      </c>
      <c r="C74" s="8" t="s">
        <v>35</v>
      </c>
      <c r="D74" s="8" t="s">
        <v>241</v>
      </c>
      <c r="E74" s="9" t="s">
        <v>242</v>
      </c>
    </row>
    <row r="75" spans="1:5" ht="15.75" customHeight="1">
      <c r="A75" s="8">
        <v>8</v>
      </c>
      <c r="B75" s="9" t="s">
        <v>243</v>
      </c>
      <c r="C75" s="8" t="s">
        <v>245</v>
      </c>
      <c r="D75" s="8" t="s">
        <v>246</v>
      </c>
      <c r="E75" s="9" t="s">
        <v>247</v>
      </c>
    </row>
    <row r="76" spans="1:5" ht="15.75" customHeight="1">
      <c r="A76" s="8">
        <v>9</v>
      </c>
      <c r="B76" s="9" t="s">
        <v>248</v>
      </c>
      <c r="C76" s="8" t="s">
        <v>72</v>
      </c>
      <c r="D76" s="8" t="s">
        <v>249</v>
      </c>
      <c r="E76" s="9" t="s">
        <v>250</v>
      </c>
    </row>
    <row r="77" spans="1:5" ht="15.75" customHeight="1">
      <c r="A77" s="8">
        <v>10</v>
      </c>
      <c r="B77" s="9" t="s">
        <v>251</v>
      </c>
      <c r="C77" s="8" t="s">
        <v>252</v>
      </c>
      <c r="D77" s="8" t="s">
        <v>253</v>
      </c>
      <c r="E77" s="9" t="s">
        <v>254</v>
      </c>
    </row>
    <row r="78" spans="1:5" ht="15.75" customHeight="1">
      <c r="A78" s="8">
        <v>11</v>
      </c>
      <c r="B78" s="9" t="s">
        <v>255</v>
      </c>
      <c r="C78" s="8" t="s">
        <v>72</v>
      </c>
      <c r="D78" s="8" t="s">
        <v>256</v>
      </c>
      <c r="E78" s="9" t="s">
        <v>257</v>
      </c>
    </row>
    <row r="79" spans="1:5" ht="15.75" customHeight="1">
      <c r="A79" s="8">
        <v>12</v>
      </c>
      <c r="B79" s="9" t="s">
        <v>258</v>
      </c>
      <c r="C79" s="8" t="s">
        <v>259</v>
      </c>
      <c r="D79" s="8" t="s">
        <v>260</v>
      </c>
      <c r="E79" s="9" t="s">
        <v>261</v>
      </c>
    </row>
    <row r="80" spans="1:5" ht="15.75" customHeight="1">
      <c r="A80" s="8">
        <v>13</v>
      </c>
      <c r="B80" s="9" t="s">
        <v>262</v>
      </c>
      <c r="C80" s="8" t="s">
        <v>263</v>
      </c>
      <c r="D80" s="8" t="s">
        <v>264</v>
      </c>
      <c r="E80" s="9" t="s">
        <v>265</v>
      </c>
    </row>
    <row r="81" spans="1:5" ht="15.75" customHeight="1">
      <c r="A81" s="8">
        <v>14</v>
      </c>
      <c r="B81" s="9" t="s">
        <v>266</v>
      </c>
      <c r="C81" s="8" t="s">
        <v>267</v>
      </c>
      <c r="D81" s="8" t="s">
        <v>268</v>
      </c>
      <c r="E81" s="9" t="s">
        <v>269</v>
      </c>
    </row>
    <row r="82" spans="1:5" ht="15.75" customHeight="1">
      <c r="A82" s="8">
        <v>15</v>
      </c>
      <c r="B82" s="9" t="s">
        <v>270</v>
      </c>
      <c r="C82" s="8" t="s">
        <v>271</v>
      </c>
      <c r="D82" s="8" t="s">
        <v>272</v>
      </c>
      <c r="E82" s="9" t="s">
        <v>273</v>
      </c>
    </row>
    <row r="83" spans="1:5" ht="15.75" customHeight="1">
      <c r="A83" s="8">
        <v>16</v>
      </c>
      <c r="B83" s="9" t="s">
        <v>274</v>
      </c>
      <c r="C83" s="8" t="s">
        <v>72</v>
      </c>
      <c r="D83" s="8" t="s">
        <v>252</v>
      </c>
      <c r="E83" s="9" t="s">
        <v>275</v>
      </c>
    </row>
    <row r="84" spans="1:5" ht="15.75" customHeight="1">
      <c r="A84" s="8">
        <v>17</v>
      </c>
      <c r="B84" s="9" t="s">
        <v>276</v>
      </c>
      <c r="C84" s="8" t="s">
        <v>277</v>
      </c>
      <c r="D84" s="8" t="s">
        <v>271</v>
      </c>
      <c r="E84" s="9" t="s">
        <v>278</v>
      </c>
    </row>
    <row r="85" spans="1:5" ht="15.75" customHeight="1">
      <c r="A85" s="4"/>
      <c r="B85" s="4"/>
      <c r="C85" s="4"/>
      <c r="D85" s="4"/>
      <c r="E85" s="4"/>
    </row>
    <row r="86" spans="1:5" ht="15.75" customHeight="1">
      <c r="A86" s="80" t="s">
        <v>279</v>
      </c>
      <c r="B86" s="71"/>
      <c r="C86" s="71"/>
      <c r="D86" s="71"/>
      <c r="E86" s="71"/>
    </row>
    <row r="87" spans="1:5" ht="15.75" customHeight="1">
      <c r="A87" s="5" t="s">
        <v>5</v>
      </c>
      <c r="B87" s="5" t="s">
        <v>7</v>
      </c>
      <c r="C87" s="5" t="s">
        <v>8</v>
      </c>
      <c r="D87" s="5" t="s">
        <v>9</v>
      </c>
      <c r="E87" s="5" t="s">
        <v>10</v>
      </c>
    </row>
    <row r="88" spans="1:5" ht="15.75" customHeight="1">
      <c r="A88" s="8">
        <v>1</v>
      </c>
      <c r="B88" s="9" t="s">
        <v>280</v>
      </c>
      <c r="C88" s="8" t="s">
        <v>281</v>
      </c>
      <c r="D88" s="8" t="s">
        <v>282</v>
      </c>
      <c r="E88" s="9" t="s">
        <v>283</v>
      </c>
    </row>
    <row r="89" spans="1:5" ht="15.75" customHeight="1">
      <c r="A89" s="8">
        <v>2</v>
      </c>
      <c r="B89" s="9" t="s">
        <v>284</v>
      </c>
      <c r="C89" s="8" t="s">
        <v>154</v>
      </c>
      <c r="D89" s="8" t="s">
        <v>285</v>
      </c>
      <c r="E89" s="9" t="s">
        <v>286</v>
      </c>
    </row>
    <row r="90" spans="1:5" ht="15.75" customHeight="1">
      <c r="A90" s="8">
        <v>3</v>
      </c>
      <c r="B90" s="9" t="s">
        <v>287</v>
      </c>
      <c r="C90" s="8" t="s">
        <v>24</v>
      </c>
      <c r="D90" s="8" t="s">
        <v>288</v>
      </c>
      <c r="E90" s="9" t="s">
        <v>289</v>
      </c>
    </row>
    <row r="91" spans="1:5" ht="15.75" customHeight="1">
      <c r="A91" s="8">
        <v>4</v>
      </c>
      <c r="B91" s="9" t="s">
        <v>290</v>
      </c>
      <c r="C91" s="12" t="s">
        <v>24</v>
      </c>
      <c r="D91" s="8" t="s">
        <v>288</v>
      </c>
      <c r="E91" s="9" t="s">
        <v>291</v>
      </c>
    </row>
    <row r="92" spans="1:5" ht="15.75" customHeight="1">
      <c r="A92" s="8">
        <v>5</v>
      </c>
      <c r="B92" s="9" t="s">
        <v>292</v>
      </c>
      <c r="C92" s="12" t="s">
        <v>24</v>
      </c>
      <c r="D92" s="8" t="s">
        <v>288</v>
      </c>
      <c r="E92" s="9" t="s">
        <v>293</v>
      </c>
    </row>
    <row r="93" spans="1:5" ht="15.75" customHeight="1">
      <c r="A93" s="8">
        <v>6</v>
      </c>
      <c r="B93" s="9" t="s">
        <v>294</v>
      </c>
      <c r="C93" s="8" t="s">
        <v>35</v>
      </c>
      <c r="D93" s="8" t="s">
        <v>19</v>
      </c>
      <c r="E93" s="9" t="s">
        <v>295</v>
      </c>
    </row>
    <row r="94" spans="1:5" ht="15.75" customHeight="1">
      <c r="A94" s="8">
        <v>7</v>
      </c>
      <c r="B94" s="9" t="s">
        <v>296</v>
      </c>
      <c r="C94" s="8" t="s">
        <v>297</v>
      </c>
      <c r="D94" s="8" t="s">
        <v>297</v>
      </c>
      <c r="E94" s="9" t="s">
        <v>298</v>
      </c>
    </row>
    <row r="95" spans="1:5" ht="15.75" customHeight="1">
      <c r="A95" s="4"/>
      <c r="B95" s="4"/>
      <c r="C95" s="4"/>
      <c r="D95" s="4"/>
      <c r="E95" s="4"/>
    </row>
    <row r="96" spans="1:5" ht="15.75" customHeight="1">
      <c r="A96" s="80" t="s">
        <v>299</v>
      </c>
      <c r="B96" s="71"/>
      <c r="C96" s="71"/>
      <c r="D96" s="71"/>
      <c r="E96" s="71"/>
    </row>
    <row r="97" spans="1:5" ht="15.75" customHeight="1">
      <c r="A97" s="5" t="s">
        <v>5</v>
      </c>
      <c r="B97" s="5" t="s">
        <v>7</v>
      </c>
      <c r="C97" s="5" t="s">
        <v>8</v>
      </c>
      <c r="D97" s="5" t="s">
        <v>9</v>
      </c>
      <c r="E97" s="5" t="s">
        <v>10</v>
      </c>
    </row>
    <row r="98" spans="1:5" ht="15.75" customHeight="1">
      <c r="A98" s="8">
        <v>1</v>
      </c>
      <c r="B98" s="9" t="s">
        <v>300</v>
      </c>
      <c r="C98" s="8" t="s">
        <v>301</v>
      </c>
      <c r="D98" s="8" t="s">
        <v>249</v>
      </c>
      <c r="E98" s="9" t="s">
        <v>302</v>
      </c>
    </row>
    <row r="99" spans="1:5" ht="15.75" customHeight="1">
      <c r="A99" s="8">
        <v>2</v>
      </c>
      <c r="B99" s="9" t="s">
        <v>303</v>
      </c>
      <c r="C99" s="8" t="s">
        <v>305</v>
      </c>
      <c r="D99" s="8" t="s">
        <v>245</v>
      </c>
      <c r="E99" s="9" t="s">
        <v>306</v>
      </c>
    </row>
    <row r="100" spans="1:5" ht="15.75" customHeight="1">
      <c r="A100" s="8">
        <v>3</v>
      </c>
      <c r="B100" s="9" t="s">
        <v>307</v>
      </c>
      <c r="C100" s="8" t="s">
        <v>249</v>
      </c>
      <c r="D100" s="8" t="s">
        <v>309</v>
      </c>
      <c r="E100" s="9" t="s">
        <v>310</v>
      </c>
    </row>
    <row r="101" spans="1:5" ht="15.75" customHeight="1">
      <c r="A101" s="8">
        <v>4</v>
      </c>
      <c r="B101" s="9" t="s">
        <v>311</v>
      </c>
      <c r="C101" s="8" t="s">
        <v>277</v>
      </c>
      <c r="D101" s="8" t="s">
        <v>313</v>
      </c>
      <c r="E101" s="9" t="s">
        <v>314</v>
      </c>
    </row>
    <row r="102" spans="1:5" ht="15.75" customHeight="1">
      <c r="A102" s="8">
        <v>5</v>
      </c>
      <c r="B102" s="9" t="s">
        <v>316</v>
      </c>
      <c r="C102" s="8" t="s">
        <v>317</v>
      </c>
      <c r="D102" s="8" t="s">
        <v>226</v>
      </c>
      <c r="E102" s="9" t="s">
        <v>318</v>
      </c>
    </row>
    <row r="103" spans="1:5" ht="15.75" customHeight="1">
      <c r="A103" s="8">
        <v>6</v>
      </c>
      <c r="B103" s="9" t="s">
        <v>319</v>
      </c>
      <c r="C103" s="8" t="s">
        <v>320</v>
      </c>
      <c r="D103" s="8" t="s">
        <v>321</v>
      </c>
      <c r="E103" s="9" t="s">
        <v>322</v>
      </c>
    </row>
    <row r="104" spans="1:5" ht="15.75" customHeight="1">
      <c r="A104" s="8">
        <v>7</v>
      </c>
      <c r="B104" s="9" t="s">
        <v>323</v>
      </c>
      <c r="C104" s="8" t="s">
        <v>35</v>
      </c>
      <c r="D104" s="8" t="s">
        <v>324</v>
      </c>
      <c r="E104" s="9" t="s">
        <v>325</v>
      </c>
    </row>
    <row r="105" spans="1:5" ht="15.75" customHeight="1">
      <c r="A105" s="8">
        <v>8</v>
      </c>
      <c r="B105" s="9" t="s">
        <v>326</v>
      </c>
      <c r="C105" s="8" t="s">
        <v>213</v>
      </c>
      <c r="D105" s="8" t="s">
        <v>327</v>
      </c>
      <c r="E105" s="9" t="s">
        <v>328</v>
      </c>
    </row>
    <row r="106" spans="1:5" ht="15.75" customHeight="1">
      <c r="A106" s="4"/>
      <c r="B106" s="4"/>
      <c r="C106" s="4"/>
      <c r="D106" s="4"/>
      <c r="E106" s="4"/>
    </row>
    <row r="107" spans="1:5" ht="15.75" customHeight="1">
      <c r="A107" s="80" t="s">
        <v>329</v>
      </c>
      <c r="B107" s="71"/>
      <c r="C107" s="71"/>
      <c r="D107" s="71"/>
      <c r="E107" s="71"/>
    </row>
    <row r="108" spans="1:5" ht="15.75" customHeight="1">
      <c r="A108" s="5" t="s">
        <v>5</v>
      </c>
      <c r="B108" s="5" t="s">
        <v>7</v>
      </c>
      <c r="C108" s="5" t="s">
        <v>8</v>
      </c>
      <c r="D108" s="5" t="s">
        <v>9</v>
      </c>
      <c r="E108" s="5" t="s">
        <v>10</v>
      </c>
    </row>
    <row r="109" spans="1:5" ht="15.75" customHeight="1">
      <c r="A109" s="8">
        <v>1</v>
      </c>
      <c r="B109" s="9" t="s">
        <v>330</v>
      </c>
      <c r="C109" s="8" t="s">
        <v>331</v>
      </c>
      <c r="D109" s="8" t="s">
        <v>332</v>
      </c>
      <c r="E109" s="9" t="s">
        <v>333</v>
      </c>
    </row>
    <row r="110" spans="1:5" ht="15.75" customHeight="1">
      <c r="A110" s="8">
        <v>2</v>
      </c>
      <c r="B110" s="9" t="s">
        <v>334</v>
      </c>
      <c r="C110" s="8" t="s">
        <v>154</v>
      </c>
      <c r="D110" s="8" t="s">
        <v>143</v>
      </c>
      <c r="E110" s="9" t="s">
        <v>335</v>
      </c>
    </row>
    <row r="111" spans="1:5" ht="15.75" customHeight="1">
      <c r="A111" s="8">
        <v>3</v>
      </c>
      <c r="B111" s="9" t="s">
        <v>336</v>
      </c>
      <c r="C111" s="8" t="s">
        <v>337</v>
      </c>
      <c r="D111" s="8" t="s">
        <v>337</v>
      </c>
      <c r="E111" s="9" t="s">
        <v>338</v>
      </c>
    </row>
    <row r="112" spans="1:5" ht="15.75" customHeight="1">
      <c r="A112" s="8">
        <v>4</v>
      </c>
      <c r="B112" s="9" t="s">
        <v>339</v>
      </c>
      <c r="C112" s="8" t="s">
        <v>116</v>
      </c>
      <c r="D112" s="8" t="s">
        <v>340</v>
      </c>
      <c r="E112" s="9" t="s">
        <v>341</v>
      </c>
    </row>
    <row r="113" spans="1:5" ht="15.75" customHeight="1">
      <c r="A113" s="8">
        <v>5</v>
      </c>
      <c r="B113" s="9" t="s">
        <v>343</v>
      </c>
      <c r="C113" s="8" t="s">
        <v>35</v>
      </c>
      <c r="D113" s="8" t="s">
        <v>142</v>
      </c>
      <c r="E113" s="9" t="s">
        <v>344</v>
      </c>
    </row>
    <row r="114" spans="1:5" ht="15.75" customHeight="1">
      <c r="A114" s="8">
        <v>6</v>
      </c>
      <c r="B114" s="9" t="s">
        <v>345</v>
      </c>
      <c r="C114" s="8" t="s">
        <v>256</v>
      </c>
      <c r="D114" s="8" t="s">
        <v>346</v>
      </c>
      <c r="E114" s="9" t="s">
        <v>347</v>
      </c>
    </row>
    <row r="115" spans="1:5" ht="15.75" customHeight="1">
      <c r="A115" s="8">
        <v>7</v>
      </c>
      <c r="B115" s="9" t="s">
        <v>348</v>
      </c>
      <c r="C115" s="8" t="s">
        <v>72</v>
      </c>
      <c r="D115" s="8" t="s">
        <v>349</v>
      </c>
      <c r="E115" s="9" t="s">
        <v>350</v>
      </c>
    </row>
    <row r="116" spans="1:5" ht="15.75" customHeight="1">
      <c r="A116" s="8">
        <v>8</v>
      </c>
      <c r="B116" s="9" t="s">
        <v>351</v>
      </c>
      <c r="C116" s="8" t="s">
        <v>147</v>
      </c>
      <c r="D116" s="8" t="s">
        <v>352</v>
      </c>
      <c r="E116" s="9" t="s">
        <v>353</v>
      </c>
    </row>
    <row r="117" spans="1:5" ht="15.75" customHeight="1">
      <c r="A117" s="8">
        <v>9</v>
      </c>
      <c r="B117" s="9" t="s">
        <v>354</v>
      </c>
      <c r="C117" s="8" t="s">
        <v>288</v>
      </c>
      <c r="D117" s="8" t="s">
        <v>147</v>
      </c>
      <c r="E117" s="9" t="s">
        <v>355</v>
      </c>
    </row>
    <row r="118" spans="1:5" ht="15.75" customHeight="1">
      <c r="A118" s="8">
        <v>10</v>
      </c>
      <c r="B118" s="9" t="s">
        <v>356</v>
      </c>
      <c r="C118" s="8" t="s">
        <v>331</v>
      </c>
      <c r="D118" s="8" t="s">
        <v>332</v>
      </c>
      <c r="E118" s="9" t="s">
        <v>357</v>
      </c>
    </row>
    <row r="119" spans="1:5" ht="15.75" customHeight="1">
      <c r="A119" s="4"/>
      <c r="B119" s="4"/>
      <c r="C119" s="4"/>
      <c r="D119" s="4"/>
      <c r="E119" s="4"/>
    </row>
    <row r="120" spans="1:5" ht="15.75" customHeight="1">
      <c r="A120" s="80" t="s">
        <v>359</v>
      </c>
      <c r="B120" s="71"/>
      <c r="C120" s="71"/>
      <c r="D120" s="71"/>
      <c r="E120" s="71"/>
    </row>
    <row r="121" spans="1:5" ht="15.75" customHeight="1">
      <c r="A121" s="5" t="s">
        <v>5</v>
      </c>
      <c r="B121" s="5" t="s">
        <v>7</v>
      </c>
      <c r="C121" s="5" t="s">
        <v>8</v>
      </c>
      <c r="D121" s="5" t="s">
        <v>9</v>
      </c>
      <c r="E121" s="5" t="s">
        <v>10</v>
      </c>
    </row>
    <row r="122" spans="1:5" ht="15.75" customHeight="1">
      <c r="A122" s="8">
        <v>1</v>
      </c>
      <c r="B122" s="9" t="s">
        <v>360</v>
      </c>
      <c r="C122" s="8" t="s">
        <v>46</v>
      </c>
      <c r="D122" s="8" t="s">
        <v>361</v>
      </c>
      <c r="E122" s="9" t="s">
        <v>362</v>
      </c>
    </row>
    <row r="123" spans="1:5" ht="15.75" customHeight="1">
      <c r="A123" s="8">
        <v>2</v>
      </c>
      <c r="B123" s="9" t="s">
        <v>363</v>
      </c>
      <c r="C123" s="8" t="s">
        <v>24</v>
      </c>
      <c r="D123" s="8" t="s">
        <v>142</v>
      </c>
      <c r="E123" s="9" t="s">
        <v>366</v>
      </c>
    </row>
    <row r="124" spans="1:5" ht="15.75" customHeight="1">
      <c r="A124" s="8">
        <v>3</v>
      </c>
      <c r="B124" s="9" t="s">
        <v>367</v>
      </c>
      <c r="C124" s="8" t="s">
        <v>301</v>
      </c>
      <c r="D124" s="8" t="s">
        <v>249</v>
      </c>
      <c r="E124" s="9" t="s">
        <v>368</v>
      </c>
    </row>
    <row r="125" spans="1:5" ht="15.75" customHeight="1">
      <c r="A125" s="4"/>
      <c r="B125" s="4"/>
      <c r="C125" s="4"/>
      <c r="D125" s="4"/>
      <c r="E125" s="4"/>
    </row>
    <row r="126" spans="1:5" ht="15.75" customHeight="1">
      <c r="A126" s="80" t="s">
        <v>369</v>
      </c>
      <c r="B126" s="71"/>
      <c r="C126" s="71"/>
      <c r="D126" s="71"/>
      <c r="E126" s="71"/>
    </row>
    <row r="127" spans="1:5" ht="15.75" customHeight="1">
      <c r="A127" s="5" t="s">
        <v>5</v>
      </c>
      <c r="B127" s="5" t="s">
        <v>7</v>
      </c>
      <c r="C127" s="5" t="s">
        <v>8</v>
      </c>
      <c r="D127" s="5" t="s">
        <v>9</v>
      </c>
      <c r="E127" s="5" t="s">
        <v>10</v>
      </c>
    </row>
    <row r="128" spans="1:5" ht="15.75" customHeight="1">
      <c r="A128" s="8">
        <v>1</v>
      </c>
      <c r="B128" s="9" t="s">
        <v>370</v>
      </c>
      <c r="C128" s="8" t="s">
        <v>371</v>
      </c>
      <c r="D128" s="8" t="s">
        <v>372</v>
      </c>
      <c r="E128" s="9" t="s">
        <v>373</v>
      </c>
    </row>
    <row r="129" spans="1:5" ht="15.75" customHeight="1">
      <c r="A129" s="4"/>
      <c r="B129" s="4"/>
      <c r="C129" s="4"/>
      <c r="D129" s="4"/>
      <c r="E129" s="4"/>
    </row>
    <row r="130" spans="1:5" ht="15.75" customHeight="1">
      <c r="A130" s="80" t="s">
        <v>374</v>
      </c>
      <c r="B130" s="71"/>
      <c r="C130" s="71"/>
      <c r="D130" s="71"/>
      <c r="E130" s="71"/>
    </row>
    <row r="131" spans="1:5" ht="15.75" customHeight="1">
      <c r="A131" s="5" t="s">
        <v>5</v>
      </c>
      <c r="B131" s="5" t="s">
        <v>7</v>
      </c>
      <c r="C131" s="5" t="s">
        <v>8</v>
      </c>
      <c r="D131" s="5" t="s">
        <v>9</v>
      </c>
      <c r="E131" s="5" t="s">
        <v>10</v>
      </c>
    </row>
    <row r="132" spans="1:5" ht="15.75" customHeight="1">
      <c r="A132" s="8">
        <v>1</v>
      </c>
      <c r="B132" s="9" t="s">
        <v>375</v>
      </c>
      <c r="C132" s="8" t="s">
        <v>376</v>
      </c>
      <c r="D132" s="8" t="s">
        <v>377</v>
      </c>
      <c r="E132" s="9" t="s">
        <v>378</v>
      </c>
    </row>
    <row r="133" spans="1:5" ht="15.75" customHeight="1"/>
    <row r="134" spans="1:5" ht="15.75" customHeight="1">
      <c r="A134" s="79" t="s">
        <v>379</v>
      </c>
      <c r="B134" s="71"/>
      <c r="C134" s="71"/>
      <c r="D134" s="71"/>
      <c r="E134" s="71"/>
    </row>
    <row r="135" spans="1:5" ht="15.75" customHeight="1">
      <c r="A135" s="42"/>
      <c r="B135" s="42"/>
      <c r="C135" s="42"/>
      <c r="D135" s="42"/>
      <c r="E135" s="42"/>
    </row>
    <row r="136" spans="1:5" ht="15.75" customHeight="1">
      <c r="A136" s="80" t="s">
        <v>380</v>
      </c>
      <c r="B136" s="71"/>
      <c r="C136" s="71"/>
      <c r="D136" s="71"/>
      <c r="E136" s="71"/>
    </row>
    <row r="137" spans="1:5" ht="15.75" customHeight="1">
      <c r="A137" s="5" t="s">
        <v>5</v>
      </c>
      <c r="B137" s="5" t="s">
        <v>7</v>
      </c>
      <c r="C137" s="5" t="s">
        <v>8</v>
      </c>
      <c r="D137" s="5" t="s">
        <v>9</v>
      </c>
      <c r="E137" s="5" t="s">
        <v>10</v>
      </c>
    </row>
    <row r="138" spans="1:5" ht="15.75" customHeight="1">
      <c r="A138" s="8">
        <v>1</v>
      </c>
      <c r="B138" s="9" t="s">
        <v>381</v>
      </c>
      <c r="C138" s="8" t="s">
        <v>382</v>
      </c>
      <c r="D138" s="8" t="s">
        <v>383</v>
      </c>
      <c r="E138" s="9" t="s">
        <v>384</v>
      </c>
    </row>
    <row r="139" spans="1:5" ht="15.75" customHeight="1">
      <c r="A139" s="8">
        <v>2</v>
      </c>
      <c r="B139" s="9" t="s">
        <v>385</v>
      </c>
      <c r="C139" s="8" t="s">
        <v>386</v>
      </c>
      <c r="D139" s="8" t="s">
        <v>226</v>
      </c>
      <c r="E139" s="9" t="s">
        <v>387</v>
      </c>
    </row>
    <row r="140" spans="1:5" ht="15.75" customHeight="1">
      <c r="A140" s="8">
        <v>3</v>
      </c>
      <c r="B140" s="9" t="s">
        <v>389</v>
      </c>
      <c r="C140" s="8" t="s">
        <v>391</v>
      </c>
      <c r="D140" s="8" t="s">
        <v>392</v>
      </c>
      <c r="E140" s="9" t="s">
        <v>393</v>
      </c>
    </row>
    <row r="141" spans="1:5" ht="15.75" customHeight="1">
      <c r="A141" s="8">
        <v>4</v>
      </c>
      <c r="B141" s="9" t="s">
        <v>394</v>
      </c>
      <c r="C141" s="8" t="s">
        <v>395</v>
      </c>
      <c r="D141" s="8" t="s">
        <v>396</v>
      </c>
      <c r="E141" s="9" t="s">
        <v>397</v>
      </c>
    </row>
    <row r="142" spans="1:5" ht="15.75" customHeight="1">
      <c r="A142" s="8">
        <v>5</v>
      </c>
      <c r="B142" s="9" t="s">
        <v>398</v>
      </c>
      <c r="C142" s="8" t="s">
        <v>399</v>
      </c>
      <c r="D142" s="8" t="s">
        <v>400</v>
      </c>
      <c r="E142" s="9" t="s">
        <v>401</v>
      </c>
    </row>
    <row r="143" spans="1:5" ht="15.75" customHeight="1">
      <c r="A143" s="4"/>
      <c r="B143" s="4"/>
      <c r="C143" s="4"/>
      <c r="D143" s="4"/>
      <c r="E143" s="4"/>
    </row>
    <row r="144" spans="1:5" ht="15.75" customHeight="1">
      <c r="A144" s="80" t="s">
        <v>58</v>
      </c>
      <c r="B144" s="71"/>
      <c r="C144" s="71"/>
      <c r="D144" s="71"/>
      <c r="E144" s="71"/>
    </row>
    <row r="145" spans="1:5" ht="15.75" customHeight="1">
      <c r="A145" s="5" t="s">
        <v>5</v>
      </c>
      <c r="B145" s="5" t="s">
        <v>7</v>
      </c>
      <c r="C145" s="5" t="s">
        <v>8</v>
      </c>
      <c r="D145" s="5" t="s">
        <v>9</v>
      </c>
      <c r="E145" s="5" t="s">
        <v>10</v>
      </c>
    </row>
    <row r="146" spans="1:5" ht="15.75" customHeight="1">
      <c r="A146" s="8">
        <v>1</v>
      </c>
      <c r="B146" s="9" t="s">
        <v>402</v>
      </c>
      <c r="C146" s="8" t="s">
        <v>403</v>
      </c>
      <c r="D146" s="8" t="s">
        <v>404</v>
      </c>
      <c r="E146" s="9" t="s">
        <v>405</v>
      </c>
    </row>
    <row r="147" spans="1:5" ht="15.75" customHeight="1">
      <c r="A147" s="8">
        <v>2</v>
      </c>
      <c r="B147" s="9" t="s">
        <v>406</v>
      </c>
      <c r="C147" s="8" t="s">
        <v>408</v>
      </c>
      <c r="D147" s="8" t="s">
        <v>409</v>
      </c>
      <c r="E147" s="9" t="s">
        <v>410</v>
      </c>
    </row>
    <row r="148" spans="1:5" ht="15.75" customHeight="1">
      <c r="A148" s="8">
        <v>3</v>
      </c>
      <c r="B148" s="9" t="s">
        <v>411</v>
      </c>
      <c r="C148" s="8" t="s">
        <v>412</v>
      </c>
      <c r="D148" s="8" t="s">
        <v>413</v>
      </c>
      <c r="E148" s="9" t="s">
        <v>414</v>
      </c>
    </row>
    <row r="149" spans="1:5" ht="15.75" customHeight="1">
      <c r="A149" s="8">
        <v>4</v>
      </c>
      <c r="B149" s="9" t="s">
        <v>415</v>
      </c>
      <c r="C149" s="8" t="s">
        <v>416</v>
      </c>
      <c r="D149" s="8" t="s">
        <v>413</v>
      </c>
      <c r="E149" s="9" t="s">
        <v>417</v>
      </c>
    </row>
    <row r="150" spans="1:5" ht="15.75" customHeight="1">
      <c r="A150" s="8">
        <v>5</v>
      </c>
      <c r="B150" s="9" t="s">
        <v>418</v>
      </c>
      <c r="C150" s="8" t="s">
        <v>419</v>
      </c>
      <c r="D150" s="8" t="s">
        <v>420</v>
      </c>
      <c r="E150" s="9" t="s">
        <v>421</v>
      </c>
    </row>
    <row r="151" spans="1:5" ht="15.75" customHeight="1">
      <c r="A151" s="8">
        <v>6</v>
      </c>
      <c r="B151" s="9" t="s">
        <v>422</v>
      </c>
      <c r="C151" s="8" t="s">
        <v>423</v>
      </c>
      <c r="D151" s="8" t="s">
        <v>424</v>
      </c>
      <c r="E151" s="9" t="s">
        <v>425</v>
      </c>
    </row>
    <row r="152" spans="1:5" ht="15.75" customHeight="1">
      <c r="A152" s="8">
        <v>7</v>
      </c>
      <c r="B152" s="9" t="s">
        <v>426</v>
      </c>
      <c r="C152" s="8" t="s">
        <v>400</v>
      </c>
      <c r="D152" s="8" t="s">
        <v>427</v>
      </c>
      <c r="E152" s="9" t="s">
        <v>428</v>
      </c>
    </row>
    <row r="153" spans="1:5" ht="15.75" customHeight="1">
      <c r="A153" s="8">
        <v>8</v>
      </c>
      <c r="B153" s="9" t="s">
        <v>429</v>
      </c>
      <c r="C153" s="8" t="s">
        <v>430</v>
      </c>
      <c r="D153" s="8" t="s">
        <v>431</v>
      </c>
      <c r="E153" s="9" t="s">
        <v>432</v>
      </c>
    </row>
    <row r="154" spans="1:5" ht="15.75" customHeight="1">
      <c r="A154" s="8">
        <v>9</v>
      </c>
      <c r="B154" s="9" t="s">
        <v>433</v>
      </c>
      <c r="C154" s="8" t="s">
        <v>434</v>
      </c>
      <c r="D154" s="8" t="s">
        <v>435</v>
      </c>
      <c r="E154" s="9" t="s">
        <v>436</v>
      </c>
    </row>
    <row r="155" spans="1:5" ht="15.75" customHeight="1">
      <c r="A155" s="8">
        <v>10</v>
      </c>
      <c r="B155" s="9" t="s">
        <v>437</v>
      </c>
      <c r="C155" s="8" t="s">
        <v>438</v>
      </c>
      <c r="D155" s="8" t="s">
        <v>439</v>
      </c>
      <c r="E155" s="9" t="s">
        <v>440</v>
      </c>
    </row>
    <row r="156" spans="1:5" ht="15.75" customHeight="1"/>
    <row r="157" spans="1:5" ht="15.75" customHeight="1"/>
    <row r="158" spans="1:5" ht="15.75" customHeight="1"/>
    <row r="159" spans="1:5" ht="15.75" customHeight="1"/>
    <row r="160" spans="1: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3:E3"/>
    <mergeCell ref="A5:E5"/>
    <mergeCell ref="A13:E13"/>
    <mergeCell ref="A20:E20"/>
    <mergeCell ref="A38:E38"/>
    <mergeCell ref="A58:E58"/>
    <mergeCell ref="A60:E60"/>
    <mergeCell ref="A134:E134"/>
    <mergeCell ref="A136:E136"/>
    <mergeCell ref="A144:E144"/>
    <mergeCell ref="A66:E66"/>
    <mergeCell ref="A86:E86"/>
    <mergeCell ref="A96:E96"/>
    <mergeCell ref="A107:E107"/>
    <mergeCell ref="A120:E120"/>
    <mergeCell ref="A126:E126"/>
    <mergeCell ref="A130:E130"/>
  </mergeCells>
  <hyperlinks>
    <hyperlink ref="B7" r:id="rId1" xr:uid="{00000000-0004-0000-0100-000000000000}"/>
    <hyperlink ref="E7" r:id="rId2" xr:uid="{00000000-0004-0000-0100-000001000000}"/>
    <hyperlink ref="B8" r:id="rId3" xr:uid="{00000000-0004-0000-0100-000002000000}"/>
    <hyperlink ref="E8" r:id="rId4" xr:uid="{00000000-0004-0000-0100-000003000000}"/>
    <hyperlink ref="B9" r:id="rId5" xr:uid="{00000000-0004-0000-0100-000004000000}"/>
    <hyperlink ref="E9" r:id="rId6" xr:uid="{00000000-0004-0000-0100-000005000000}"/>
    <hyperlink ref="B10" r:id="rId7" xr:uid="{00000000-0004-0000-0100-000006000000}"/>
    <hyperlink ref="E10" r:id="rId8" xr:uid="{00000000-0004-0000-0100-000007000000}"/>
    <hyperlink ref="B11" r:id="rId9" xr:uid="{00000000-0004-0000-0100-000008000000}"/>
    <hyperlink ref="E11" r:id="rId10" xr:uid="{00000000-0004-0000-0100-000009000000}"/>
    <hyperlink ref="B15" r:id="rId11" xr:uid="{00000000-0004-0000-0100-00000A000000}"/>
    <hyperlink ref="E15" r:id="rId12" xr:uid="{00000000-0004-0000-0100-00000B000000}"/>
    <hyperlink ref="B16" r:id="rId13" xr:uid="{00000000-0004-0000-0100-00000C000000}"/>
    <hyperlink ref="E16" r:id="rId14" xr:uid="{00000000-0004-0000-0100-00000D000000}"/>
    <hyperlink ref="B17" r:id="rId15" xr:uid="{00000000-0004-0000-0100-00000E000000}"/>
    <hyperlink ref="E17" r:id="rId16" xr:uid="{00000000-0004-0000-0100-00000F000000}"/>
    <hyperlink ref="B18" r:id="rId17" xr:uid="{00000000-0004-0000-0100-000010000000}"/>
    <hyperlink ref="E18" r:id="rId18" xr:uid="{00000000-0004-0000-0100-000011000000}"/>
    <hyperlink ref="B22" r:id="rId19" xr:uid="{00000000-0004-0000-0100-000012000000}"/>
    <hyperlink ref="E22" r:id="rId20" xr:uid="{00000000-0004-0000-0100-000013000000}"/>
    <hyperlink ref="B23" r:id="rId21" xr:uid="{00000000-0004-0000-0100-000014000000}"/>
    <hyperlink ref="E23" r:id="rId22" xr:uid="{00000000-0004-0000-0100-000015000000}"/>
    <hyperlink ref="B24" r:id="rId23" xr:uid="{00000000-0004-0000-0100-000016000000}"/>
    <hyperlink ref="E24" r:id="rId24" xr:uid="{00000000-0004-0000-0100-000017000000}"/>
    <hyperlink ref="B25" r:id="rId25" xr:uid="{00000000-0004-0000-0100-000018000000}"/>
    <hyperlink ref="E25" r:id="rId26" xr:uid="{00000000-0004-0000-0100-000019000000}"/>
    <hyperlink ref="B26" r:id="rId27" xr:uid="{00000000-0004-0000-0100-00001A000000}"/>
    <hyperlink ref="E26" r:id="rId28" xr:uid="{00000000-0004-0000-0100-00001B000000}"/>
    <hyperlink ref="B27" r:id="rId29" xr:uid="{00000000-0004-0000-0100-00001C000000}"/>
    <hyperlink ref="E27" r:id="rId30" xr:uid="{00000000-0004-0000-0100-00001D000000}"/>
    <hyperlink ref="B28" r:id="rId31" xr:uid="{00000000-0004-0000-0100-00001E000000}"/>
    <hyperlink ref="E28" r:id="rId32" xr:uid="{00000000-0004-0000-0100-00001F000000}"/>
    <hyperlink ref="B29" r:id="rId33" xr:uid="{00000000-0004-0000-0100-000020000000}"/>
    <hyperlink ref="E29" r:id="rId34" xr:uid="{00000000-0004-0000-0100-000021000000}"/>
    <hyperlink ref="B30" r:id="rId35" xr:uid="{00000000-0004-0000-0100-000022000000}"/>
    <hyperlink ref="E30" r:id="rId36" xr:uid="{00000000-0004-0000-0100-000023000000}"/>
    <hyperlink ref="B31" r:id="rId37" xr:uid="{00000000-0004-0000-0100-000024000000}"/>
    <hyperlink ref="E31" r:id="rId38" xr:uid="{00000000-0004-0000-0100-000025000000}"/>
    <hyperlink ref="B32" r:id="rId39" xr:uid="{00000000-0004-0000-0100-000026000000}"/>
    <hyperlink ref="E32" r:id="rId40" xr:uid="{00000000-0004-0000-0100-000027000000}"/>
    <hyperlink ref="B33" r:id="rId41" xr:uid="{00000000-0004-0000-0100-000028000000}"/>
    <hyperlink ref="E33" r:id="rId42" xr:uid="{00000000-0004-0000-0100-000029000000}"/>
    <hyperlink ref="B34" r:id="rId43" xr:uid="{00000000-0004-0000-0100-00002A000000}"/>
    <hyperlink ref="E34" r:id="rId44" xr:uid="{00000000-0004-0000-0100-00002B000000}"/>
    <hyperlink ref="B35" r:id="rId45" xr:uid="{00000000-0004-0000-0100-00002C000000}"/>
    <hyperlink ref="E35" r:id="rId46" xr:uid="{00000000-0004-0000-0100-00002D000000}"/>
    <hyperlink ref="B36" r:id="rId47" xr:uid="{00000000-0004-0000-0100-00002E000000}"/>
    <hyperlink ref="E36" r:id="rId48" xr:uid="{00000000-0004-0000-0100-00002F000000}"/>
    <hyperlink ref="B40" r:id="rId49" xr:uid="{00000000-0004-0000-0100-000030000000}"/>
    <hyperlink ref="E40" r:id="rId50" xr:uid="{00000000-0004-0000-0100-000031000000}"/>
    <hyperlink ref="B41" r:id="rId51" xr:uid="{00000000-0004-0000-0100-000032000000}"/>
    <hyperlink ref="E41" r:id="rId52" xr:uid="{00000000-0004-0000-0100-000033000000}"/>
    <hyperlink ref="B42" r:id="rId53" xr:uid="{00000000-0004-0000-0100-000034000000}"/>
    <hyperlink ref="E42" r:id="rId54" xr:uid="{00000000-0004-0000-0100-000035000000}"/>
    <hyperlink ref="B43" r:id="rId55" xr:uid="{00000000-0004-0000-0100-000036000000}"/>
    <hyperlink ref="E43" r:id="rId56" xr:uid="{00000000-0004-0000-0100-000037000000}"/>
    <hyperlink ref="B44" r:id="rId57" xr:uid="{00000000-0004-0000-0100-000038000000}"/>
    <hyperlink ref="E44" r:id="rId58" xr:uid="{00000000-0004-0000-0100-000039000000}"/>
    <hyperlink ref="B45" r:id="rId59" xr:uid="{00000000-0004-0000-0100-00003A000000}"/>
    <hyperlink ref="E45" r:id="rId60" xr:uid="{00000000-0004-0000-0100-00003B000000}"/>
    <hyperlink ref="B46" r:id="rId61" xr:uid="{00000000-0004-0000-0100-00003C000000}"/>
    <hyperlink ref="E46" r:id="rId62" xr:uid="{00000000-0004-0000-0100-00003D000000}"/>
    <hyperlink ref="B47" r:id="rId63" xr:uid="{00000000-0004-0000-0100-00003E000000}"/>
    <hyperlink ref="E47" r:id="rId64" xr:uid="{00000000-0004-0000-0100-00003F000000}"/>
    <hyperlink ref="B48" r:id="rId65" xr:uid="{00000000-0004-0000-0100-000040000000}"/>
    <hyperlink ref="E48" r:id="rId66" xr:uid="{00000000-0004-0000-0100-000041000000}"/>
    <hyperlink ref="B49" r:id="rId67" xr:uid="{00000000-0004-0000-0100-000042000000}"/>
    <hyperlink ref="E49" r:id="rId68" xr:uid="{00000000-0004-0000-0100-000043000000}"/>
    <hyperlink ref="B50" r:id="rId69" xr:uid="{00000000-0004-0000-0100-000044000000}"/>
    <hyperlink ref="E50" r:id="rId70" xr:uid="{00000000-0004-0000-0100-000045000000}"/>
    <hyperlink ref="B51" r:id="rId71" xr:uid="{00000000-0004-0000-0100-000046000000}"/>
    <hyperlink ref="E51" r:id="rId72" xr:uid="{00000000-0004-0000-0100-000047000000}"/>
    <hyperlink ref="B52" r:id="rId73" xr:uid="{00000000-0004-0000-0100-000048000000}"/>
    <hyperlink ref="E52" r:id="rId74" xr:uid="{00000000-0004-0000-0100-000049000000}"/>
    <hyperlink ref="B53" r:id="rId75" xr:uid="{00000000-0004-0000-0100-00004A000000}"/>
    <hyperlink ref="E53" r:id="rId76" xr:uid="{00000000-0004-0000-0100-00004B000000}"/>
    <hyperlink ref="B54" r:id="rId77" xr:uid="{00000000-0004-0000-0100-00004C000000}"/>
    <hyperlink ref="E54" r:id="rId78" xr:uid="{00000000-0004-0000-0100-00004D000000}"/>
    <hyperlink ref="B55" r:id="rId79" xr:uid="{00000000-0004-0000-0100-00004E000000}"/>
    <hyperlink ref="E55" r:id="rId80" xr:uid="{00000000-0004-0000-0100-00004F000000}"/>
    <hyperlink ref="B56" r:id="rId81" xr:uid="{00000000-0004-0000-0100-000050000000}"/>
    <hyperlink ref="E56" r:id="rId82" xr:uid="{00000000-0004-0000-0100-000051000000}"/>
    <hyperlink ref="B62" r:id="rId83" xr:uid="{00000000-0004-0000-0100-000052000000}"/>
    <hyperlink ref="E62" r:id="rId84" xr:uid="{00000000-0004-0000-0100-000053000000}"/>
    <hyperlink ref="B63" r:id="rId85" xr:uid="{00000000-0004-0000-0100-000054000000}"/>
    <hyperlink ref="E63" r:id="rId86" xr:uid="{00000000-0004-0000-0100-000055000000}"/>
    <hyperlink ref="B64" r:id="rId87" xr:uid="{00000000-0004-0000-0100-000056000000}"/>
    <hyperlink ref="E64" r:id="rId88" xr:uid="{00000000-0004-0000-0100-000057000000}"/>
    <hyperlink ref="B68" r:id="rId89" xr:uid="{00000000-0004-0000-0100-000058000000}"/>
    <hyperlink ref="E68" r:id="rId90" xr:uid="{00000000-0004-0000-0100-000059000000}"/>
    <hyperlink ref="B69" r:id="rId91" xr:uid="{00000000-0004-0000-0100-00005A000000}"/>
    <hyperlink ref="E69" r:id="rId92" xr:uid="{00000000-0004-0000-0100-00005B000000}"/>
    <hyperlink ref="B70" r:id="rId93" xr:uid="{00000000-0004-0000-0100-00005C000000}"/>
    <hyperlink ref="E70" r:id="rId94" xr:uid="{00000000-0004-0000-0100-00005D000000}"/>
    <hyperlink ref="B71" r:id="rId95" xr:uid="{00000000-0004-0000-0100-00005E000000}"/>
    <hyperlink ref="E71" r:id="rId96" xr:uid="{00000000-0004-0000-0100-00005F000000}"/>
    <hyperlink ref="B72" r:id="rId97" xr:uid="{00000000-0004-0000-0100-000060000000}"/>
    <hyperlink ref="E72" r:id="rId98" xr:uid="{00000000-0004-0000-0100-000061000000}"/>
    <hyperlink ref="B73" r:id="rId99" xr:uid="{00000000-0004-0000-0100-000062000000}"/>
    <hyperlink ref="E73" r:id="rId100" xr:uid="{00000000-0004-0000-0100-000063000000}"/>
    <hyperlink ref="B74" r:id="rId101" xr:uid="{00000000-0004-0000-0100-000064000000}"/>
    <hyperlink ref="E74" r:id="rId102" xr:uid="{00000000-0004-0000-0100-000065000000}"/>
    <hyperlink ref="B75" r:id="rId103" xr:uid="{00000000-0004-0000-0100-000066000000}"/>
    <hyperlink ref="E75" r:id="rId104" xr:uid="{00000000-0004-0000-0100-000067000000}"/>
    <hyperlink ref="B76" r:id="rId105" xr:uid="{00000000-0004-0000-0100-000068000000}"/>
    <hyperlink ref="E76" r:id="rId106" xr:uid="{00000000-0004-0000-0100-000069000000}"/>
    <hyperlink ref="B77" r:id="rId107" xr:uid="{00000000-0004-0000-0100-00006A000000}"/>
    <hyperlink ref="E77" r:id="rId108" xr:uid="{00000000-0004-0000-0100-00006B000000}"/>
    <hyperlink ref="B78" r:id="rId109" xr:uid="{00000000-0004-0000-0100-00006C000000}"/>
    <hyperlink ref="E78" r:id="rId110" xr:uid="{00000000-0004-0000-0100-00006D000000}"/>
    <hyperlink ref="B79" r:id="rId111" xr:uid="{00000000-0004-0000-0100-00006E000000}"/>
    <hyperlink ref="E79" r:id="rId112" xr:uid="{00000000-0004-0000-0100-00006F000000}"/>
    <hyperlink ref="B80" r:id="rId113" xr:uid="{00000000-0004-0000-0100-000070000000}"/>
    <hyperlink ref="E80" r:id="rId114" xr:uid="{00000000-0004-0000-0100-000071000000}"/>
    <hyperlink ref="B81" r:id="rId115" xr:uid="{00000000-0004-0000-0100-000072000000}"/>
    <hyperlink ref="E81" r:id="rId116" xr:uid="{00000000-0004-0000-0100-000073000000}"/>
    <hyperlink ref="B82" r:id="rId117" xr:uid="{00000000-0004-0000-0100-000074000000}"/>
    <hyperlink ref="E82" r:id="rId118" xr:uid="{00000000-0004-0000-0100-000075000000}"/>
    <hyperlink ref="B83" r:id="rId119" xr:uid="{00000000-0004-0000-0100-000076000000}"/>
    <hyperlink ref="E83" r:id="rId120" xr:uid="{00000000-0004-0000-0100-000077000000}"/>
    <hyperlink ref="B84" r:id="rId121" xr:uid="{00000000-0004-0000-0100-000078000000}"/>
    <hyperlink ref="E84" r:id="rId122" xr:uid="{00000000-0004-0000-0100-000079000000}"/>
    <hyperlink ref="B88" r:id="rId123" xr:uid="{00000000-0004-0000-0100-00007A000000}"/>
    <hyperlink ref="E88" r:id="rId124" xr:uid="{00000000-0004-0000-0100-00007B000000}"/>
    <hyperlink ref="B89" r:id="rId125" xr:uid="{00000000-0004-0000-0100-00007C000000}"/>
    <hyperlink ref="E89" r:id="rId126" xr:uid="{00000000-0004-0000-0100-00007D000000}"/>
    <hyperlink ref="B90" r:id="rId127" xr:uid="{00000000-0004-0000-0100-00007E000000}"/>
    <hyperlink ref="E90" r:id="rId128" xr:uid="{00000000-0004-0000-0100-00007F000000}"/>
    <hyperlink ref="B91" r:id="rId129" xr:uid="{00000000-0004-0000-0100-000080000000}"/>
    <hyperlink ref="E91" r:id="rId130" xr:uid="{00000000-0004-0000-0100-000081000000}"/>
    <hyperlink ref="B92" r:id="rId131" xr:uid="{00000000-0004-0000-0100-000082000000}"/>
    <hyperlink ref="E92" r:id="rId132" xr:uid="{00000000-0004-0000-0100-000083000000}"/>
    <hyperlink ref="B93" r:id="rId133" xr:uid="{00000000-0004-0000-0100-000084000000}"/>
    <hyperlink ref="E93" r:id="rId134" xr:uid="{00000000-0004-0000-0100-000085000000}"/>
    <hyperlink ref="B94" r:id="rId135" xr:uid="{00000000-0004-0000-0100-000086000000}"/>
    <hyperlink ref="E94" r:id="rId136" xr:uid="{00000000-0004-0000-0100-000087000000}"/>
    <hyperlink ref="B98" r:id="rId137" xr:uid="{00000000-0004-0000-0100-000088000000}"/>
    <hyperlink ref="E98" r:id="rId138" xr:uid="{00000000-0004-0000-0100-000089000000}"/>
    <hyperlink ref="B99" r:id="rId139" xr:uid="{00000000-0004-0000-0100-00008A000000}"/>
    <hyperlink ref="E99" r:id="rId140" xr:uid="{00000000-0004-0000-0100-00008B000000}"/>
    <hyperlink ref="B100" r:id="rId141" xr:uid="{00000000-0004-0000-0100-00008C000000}"/>
    <hyperlink ref="E100" r:id="rId142" xr:uid="{00000000-0004-0000-0100-00008D000000}"/>
    <hyperlink ref="B101" r:id="rId143" xr:uid="{00000000-0004-0000-0100-00008E000000}"/>
    <hyperlink ref="E101" r:id="rId144" xr:uid="{00000000-0004-0000-0100-00008F000000}"/>
    <hyperlink ref="B102" r:id="rId145" xr:uid="{00000000-0004-0000-0100-000090000000}"/>
    <hyperlink ref="E102" r:id="rId146" xr:uid="{00000000-0004-0000-0100-000091000000}"/>
    <hyperlink ref="B103" r:id="rId147" xr:uid="{00000000-0004-0000-0100-000092000000}"/>
    <hyperlink ref="E103" r:id="rId148" xr:uid="{00000000-0004-0000-0100-000093000000}"/>
    <hyperlink ref="B104" r:id="rId149" xr:uid="{00000000-0004-0000-0100-000094000000}"/>
    <hyperlink ref="E104" r:id="rId150" xr:uid="{00000000-0004-0000-0100-000095000000}"/>
    <hyperlink ref="B105" r:id="rId151" xr:uid="{00000000-0004-0000-0100-000096000000}"/>
    <hyperlink ref="E105" r:id="rId152" xr:uid="{00000000-0004-0000-0100-000097000000}"/>
    <hyperlink ref="B109" r:id="rId153" xr:uid="{00000000-0004-0000-0100-000098000000}"/>
    <hyperlink ref="E109" r:id="rId154" xr:uid="{00000000-0004-0000-0100-000099000000}"/>
    <hyperlink ref="B110" r:id="rId155" xr:uid="{00000000-0004-0000-0100-00009A000000}"/>
    <hyperlink ref="E110" r:id="rId156" xr:uid="{00000000-0004-0000-0100-00009B000000}"/>
    <hyperlink ref="B111" r:id="rId157" xr:uid="{00000000-0004-0000-0100-00009C000000}"/>
    <hyperlink ref="E111" r:id="rId158" xr:uid="{00000000-0004-0000-0100-00009D000000}"/>
    <hyperlink ref="B112" r:id="rId159" xr:uid="{00000000-0004-0000-0100-00009E000000}"/>
    <hyperlink ref="E112" r:id="rId160" xr:uid="{00000000-0004-0000-0100-00009F000000}"/>
    <hyperlink ref="B113" r:id="rId161" xr:uid="{00000000-0004-0000-0100-0000A0000000}"/>
    <hyperlink ref="E113" r:id="rId162" xr:uid="{00000000-0004-0000-0100-0000A1000000}"/>
    <hyperlink ref="B114" r:id="rId163" xr:uid="{00000000-0004-0000-0100-0000A2000000}"/>
    <hyperlink ref="E114" r:id="rId164" xr:uid="{00000000-0004-0000-0100-0000A3000000}"/>
    <hyperlink ref="B115" r:id="rId165" xr:uid="{00000000-0004-0000-0100-0000A4000000}"/>
    <hyperlink ref="E115" r:id="rId166" xr:uid="{00000000-0004-0000-0100-0000A5000000}"/>
    <hyperlink ref="B116" r:id="rId167" xr:uid="{00000000-0004-0000-0100-0000A6000000}"/>
    <hyperlink ref="E116" r:id="rId168" xr:uid="{00000000-0004-0000-0100-0000A7000000}"/>
    <hyperlink ref="B117" r:id="rId169" xr:uid="{00000000-0004-0000-0100-0000A8000000}"/>
    <hyperlink ref="E117" r:id="rId170" xr:uid="{00000000-0004-0000-0100-0000A9000000}"/>
    <hyperlink ref="B118" r:id="rId171" xr:uid="{00000000-0004-0000-0100-0000AA000000}"/>
    <hyperlink ref="E118" r:id="rId172" xr:uid="{00000000-0004-0000-0100-0000AB000000}"/>
    <hyperlink ref="B122" r:id="rId173" xr:uid="{00000000-0004-0000-0100-0000AC000000}"/>
    <hyperlink ref="E122" r:id="rId174" xr:uid="{00000000-0004-0000-0100-0000AD000000}"/>
    <hyperlink ref="B123" r:id="rId175" xr:uid="{00000000-0004-0000-0100-0000AE000000}"/>
    <hyperlink ref="E123" r:id="rId176" xr:uid="{00000000-0004-0000-0100-0000AF000000}"/>
    <hyperlink ref="B124" r:id="rId177" xr:uid="{00000000-0004-0000-0100-0000B0000000}"/>
    <hyperlink ref="E124" r:id="rId178" xr:uid="{00000000-0004-0000-0100-0000B1000000}"/>
    <hyperlink ref="B128" r:id="rId179" xr:uid="{00000000-0004-0000-0100-0000B2000000}"/>
    <hyperlink ref="E128" r:id="rId180" xr:uid="{00000000-0004-0000-0100-0000B3000000}"/>
    <hyperlink ref="B132" r:id="rId181" xr:uid="{00000000-0004-0000-0100-0000B4000000}"/>
    <hyperlink ref="E132" r:id="rId182" xr:uid="{00000000-0004-0000-0100-0000B5000000}"/>
    <hyperlink ref="B138" r:id="rId183" xr:uid="{00000000-0004-0000-0100-0000B6000000}"/>
    <hyperlink ref="E138" r:id="rId184" xr:uid="{00000000-0004-0000-0100-0000B7000000}"/>
    <hyperlink ref="B139" r:id="rId185" xr:uid="{00000000-0004-0000-0100-0000B8000000}"/>
    <hyperlink ref="E139" r:id="rId186" xr:uid="{00000000-0004-0000-0100-0000B9000000}"/>
    <hyperlink ref="B140" r:id="rId187" xr:uid="{00000000-0004-0000-0100-0000BA000000}"/>
    <hyperlink ref="E140" r:id="rId188" xr:uid="{00000000-0004-0000-0100-0000BB000000}"/>
    <hyperlink ref="B141" r:id="rId189" xr:uid="{00000000-0004-0000-0100-0000BC000000}"/>
    <hyperlink ref="E141" r:id="rId190" xr:uid="{00000000-0004-0000-0100-0000BD000000}"/>
    <hyperlink ref="B142" r:id="rId191" xr:uid="{00000000-0004-0000-0100-0000BE000000}"/>
    <hyperlink ref="E142" r:id="rId192" xr:uid="{00000000-0004-0000-0100-0000BF000000}"/>
    <hyperlink ref="B146" r:id="rId193" xr:uid="{00000000-0004-0000-0100-0000C0000000}"/>
    <hyperlink ref="E146" r:id="rId194" xr:uid="{00000000-0004-0000-0100-0000C1000000}"/>
    <hyperlink ref="B147" r:id="rId195" xr:uid="{00000000-0004-0000-0100-0000C2000000}"/>
    <hyperlink ref="E147" r:id="rId196" xr:uid="{00000000-0004-0000-0100-0000C3000000}"/>
    <hyperlink ref="B148" r:id="rId197" xr:uid="{00000000-0004-0000-0100-0000C4000000}"/>
    <hyperlink ref="E148" r:id="rId198" xr:uid="{00000000-0004-0000-0100-0000C5000000}"/>
    <hyperlink ref="B149" r:id="rId199" xr:uid="{00000000-0004-0000-0100-0000C6000000}"/>
    <hyperlink ref="E149" r:id="rId200" xr:uid="{00000000-0004-0000-0100-0000C7000000}"/>
    <hyperlink ref="B150" r:id="rId201" xr:uid="{00000000-0004-0000-0100-0000C8000000}"/>
    <hyperlink ref="E150" r:id="rId202" xr:uid="{00000000-0004-0000-0100-0000C9000000}"/>
    <hyperlink ref="B151" r:id="rId203" xr:uid="{00000000-0004-0000-0100-0000CA000000}"/>
    <hyperlink ref="E151" r:id="rId204" xr:uid="{00000000-0004-0000-0100-0000CB000000}"/>
    <hyperlink ref="B152" r:id="rId205" xr:uid="{00000000-0004-0000-0100-0000CC000000}"/>
    <hyperlink ref="E152" r:id="rId206" xr:uid="{00000000-0004-0000-0100-0000CD000000}"/>
    <hyperlink ref="B153" r:id="rId207" xr:uid="{00000000-0004-0000-0100-0000CE000000}"/>
    <hyperlink ref="E153" r:id="rId208" xr:uid="{00000000-0004-0000-0100-0000CF000000}"/>
    <hyperlink ref="B154" r:id="rId209" xr:uid="{00000000-0004-0000-0100-0000D0000000}"/>
    <hyperlink ref="E154" r:id="rId210" xr:uid="{00000000-0004-0000-0100-0000D1000000}"/>
    <hyperlink ref="B155" r:id="rId211" xr:uid="{00000000-0004-0000-0100-0000D2000000}"/>
    <hyperlink ref="E155" r:id="rId212" xr:uid="{00000000-0004-0000-0100-0000D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 Musicals</vt:lpstr>
      <vt:lpstr>Procraft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Yathaarth</dc:creator>
  <cp:lastModifiedBy>yathaarthj03@outlook.com</cp:lastModifiedBy>
  <dcterms:created xsi:type="dcterms:W3CDTF">2026-09-02T08:25:02Z</dcterms:created>
  <dcterms:modified xsi:type="dcterms:W3CDTF">2026-09-25T09:01:55Z</dcterms:modified>
</cp:coreProperties>
</file>